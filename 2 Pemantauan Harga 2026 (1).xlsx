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0941734-150D-4F4A-ABC7-70460EAB72A9}" xr6:coauthVersionLast="47" xr6:coauthVersionMax="47" xr10:uidLastSave="{00000000-0000-0000-0000-000000000000}"/>
  <bookViews>
    <workbookView xWindow="-90" yWindow="-90" windowWidth="19380" windowHeight="10980" activeTab="3" xr2:uid="{00000000-000D-0000-FFFF-FFFF00000000}"/>
  </bookViews>
  <sheets>
    <sheet name="Data 2024" sheetId="1" r:id="rId1"/>
    <sheet name="Data 2025" sheetId="2" r:id="rId2"/>
    <sheet name="jan26" sheetId="3" r:id="rId3"/>
    <sheet name="choice" sheetId="5" r:id="rId4"/>
    <sheet name="feb26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atqUbl/k8OJiTQ1X7Jcn/bZWwr3D7laEMLjFXnVdn/Q="/>
    </ext>
  </extLst>
</workbook>
</file>

<file path=xl/calcChain.xml><?xml version="1.0" encoding="utf-8"?>
<calcChain xmlns="http://schemas.openxmlformats.org/spreadsheetml/2006/main">
  <c r="E1" i="5" l="1" a="1"/>
  <c r="E1" i="5" s="1"/>
  <c r="D2" i="5" a="1"/>
  <c r="D2" i="5" s="1"/>
  <c r="C2" i="5" a="1"/>
  <c r="C2" i="5" s="1"/>
  <c r="AK77" i="4"/>
  <c r="AK62" i="4"/>
  <c r="AK47" i="4"/>
  <c r="AK32" i="4"/>
  <c r="AK17" i="4"/>
  <c r="AK2" i="4"/>
  <c r="AK77" i="3"/>
  <c r="AK62" i="3"/>
  <c r="AK47" i="3"/>
  <c r="AK32" i="3"/>
  <c r="AK17" i="3"/>
  <c r="AK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<sst xmlns="http://schemas.openxmlformats.org/spreadsheetml/2006/main" count="1162" uniqueCount="74">
  <si>
    <t>Bulan</t>
  </si>
  <si>
    <t>Sumber Data</t>
  </si>
  <si>
    <t>Daging Ayam</t>
  </si>
  <si>
    <t>Daging Sapi</t>
  </si>
  <si>
    <t>Telur Ayam</t>
  </si>
  <si>
    <t>Januari</t>
  </si>
  <si>
    <t>simponi ternak</t>
  </si>
  <si>
    <t>Februari</t>
  </si>
  <si>
    <t>Maret</t>
  </si>
  <si>
    <t>April</t>
  </si>
  <si>
    <t>Mei</t>
  </si>
  <si>
    <t>sp2kp</t>
  </si>
  <si>
    <t>panel harga</t>
  </si>
  <si>
    <t>Juni</t>
  </si>
  <si>
    <t>Juli</t>
  </si>
  <si>
    <t>Agt</t>
  </si>
  <si>
    <t>Sep</t>
  </si>
  <si>
    <t>okt</t>
  </si>
  <si>
    <t>nov</t>
  </si>
  <si>
    <t>des</t>
  </si>
  <si>
    <t>Agustus</t>
  </si>
  <si>
    <t>September</t>
  </si>
  <si>
    <t>Oktober</t>
  </si>
  <si>
    <t>November</t>
  </si>
  <si>
    <t>Desember</t>
  </si>
  <si>
    <t xml:space="preserve"> </t>
  </si>
  <si>
    <t>Komoditi</t>
  </si>
  <si>
    <t>Tingkat</t>
  </si>
  <si>
    <t>Prov/Kab/Kota</t>
  </si>
  <si>
    <t>rerata</t>
  </si>
  <si>
    <t>SP2KP</t>
  </si>
  <si>
    <t>Daging Sapi Paha Belakang</t>
  </si>
  <si>
    <t>Konsumen</t>
  </si>
  <si>
    <t>Provinsi</t>
  </si>
  <si>
    <t>Sambas</t>
  </si>
  <si>
    <t>Mempawah</t>
  </si>
  <si>
    <t>Sanggau</t>
  </si>
  <si>
    <t>Ketapang</t>
  </si>
  <si>
    <t>Sintang</t>
  </si>
  <si>
    <t>Kapuas Hulu</t>
  </si>
  <si>
    <t>Bengkayang</t>
  </si>
  <si>
    <t>Landak</t>
  </si>
  <si>
    <t>Sekadau</t>
  </si>
  <si>
    <t>Melawi</t>
  </si>
  <si>
    <t>Kayong Utara</t>
  </si>
  <si>
    <t>Kubu Raya</t>
  </si>
  <si>
    <t>Pontianak</t>
  </si>
  <si>
    <t>Singkawang</t>
  </si>
  <si>
    <t>Daging Ayam Ras</t>
  </si>
  <si>
    <t>Telur Ayam Ras</t>
  </si>
  <si>
    <t>Panel Harga</t>
  </si>
  <si>
    <t>Kota Pontianak</t>
  </si>
  <si>
    <t>Kota Singkawang</t>
  </si>
  <si>
    <t>Jagung Tk Peternak</t>
  </si>
  <si>
    <t>PIHPS</t>
  </si>
  <si>
    <t>Daging Ayam Ras Segar</t>
  </si>
  <si>
    <t>Pasar Tradisional</t>
  </si>
  <si>
    <t>Pasar Modern</t>
  </si>
  <si>
    <t>Daging Sapi Kuailitas I</t>
  </si>
  <si>
    <t>Daging Sapi Kuailitas II</t>
  </si>
  <si>
    <t>Telur Ayam Ras Segar</t>
  </si>
  <si>
    <t>Disbunnak</t>
  </si>
  <si>
    <t>Daging Ayam Ras Karkas</t>
  </si>
  <si>
    <t>Pasar Flamboyan</t>
  </si>
  <si>
    <t>Pasar Kemuning</t>
  </si>
  <si>
    <t>Daging Ayam Buras</t>
  </si>
  <si>
    <t>Daging Babi</t>
  </si>
  <si>
    <t>Telur Ayam (butir) tertinggi</t>
  </si>
  <si>
    <t>Telur Ayam (butir) terendah</t>
  </si>
  <si>
    <t>Telur Ayam (kg)</t>
  </si>
  <si>
    <t>Telur Ayam Buras (butir)</t>
  </si>
  <si>
    <t>Telur Bebek (butir)</t>
  </si>
  <si>
    <t>komoditi</t>
  </si>
  <si>
    <t>tingkatan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</si>
</sst>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_);[Red]\(#,##0\)"/>
    <numFmt numFmtId="165" formatCode="d\ mmm"/>
  </numFmts>
  <fonts count="6" x14ac:knownFonts="1">
    <font>
      <sz val="10"/>
      <color rgb="FF000000"/>
      <name val="Arial"/>
      <scheme val="minor"/>
    </font>
    <font>
      <b/>
      <sz val="14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theme="9"/>
        <bgColor theme="9"/>
      </patternFill>
    </fill>
    <fill>
      <patternFill patternType="solid">
        <fgColor rgb="FFA2C4C9"/>
        <bgColor rgb="FFA2C4C9"/>
      </patternFill>
    </fill>
    <fill>
      <patternFill patternType="solid">
        <fgColor rgb="FF6D9EEB"/>
        <bgColor rgb="FF6D9EEB"/>
      </patternFill>
    </fill>
    <fill>
      <patternFill patternType="solid">
        <fgColor rgb="FFC4C02F"/>
        <bgColor rgb="FFC4C02F"/>
      </patternFill>
    </fill>
    <fill>
      <patternFill patternType="solid">
        <fgColor rgb="FF1FBCC9"/>
        <bgColor rgb="FF1FBC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3" borderId="0" xfId="0" applyNumberFormat="1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3" fillId="4" borderId="0" xfId="0" applyNumberFormat="1" applyFont="1" applyFill="1" applyAlignment="1">
      <alignment vertical="center"/>
    </xf>
    <xf numFmtId="3" fontId="2" fillId="4" borderId="0" xfId="0" applyNumberFormat="1" applyFont="1" applyFill="1" applyAlignment="1">
      <alignment vertical="center"/>
    </xf>
    <xf numFmtId="3" fontId="3" fillId="5" borderId="0" xfId="0" applyNumberFormat="1" applyFont="1" applyFill="1" applyAlignment="1">
      <alignment vertical="center"/>
    </xf>
    <xf numFmtId="3" fontId="2" fillId="5" borderId="0" xfId="0" applyNumberFormat="1" applyFont="1" applyFill="1" applyAlignment="1">
      <alignment vertical="center"/>
    </xf>
    <xf numFmtId="0" fontId="3" fillId="5" borderId="0" xfId="0" applyFont="1" applyFill="1" applyAlignment="1">
      <alignment vertical="center"/>
    </xf>
    <xf numFmtId="3" fontId="3" fillId="6" borderId="0" xfId="0" applyNumberFormat="1" applyFont="1" applyFill="1" applyAlignment="1">
      <alignment vertical="center"/>
    </xf>
    <xf numFmtId="3" fontId="3" fillId="7" borderId="0" xfId="0" applyNumberFormat="1" applyFont="1" applyFill="1" applyAlignment="1">
      <alignment vertical="center"/>
    </xf>
    <xf numFmtId="3" fontId="2" fillId="6" borderId="0" xfId="0" applyNumberFormat="1" applyFont="1" applyFill="1" applyAlignment="1">
      <alignment vertical="center"/>
    </xf>
    <xf numFmtId="3" fontId="3" fillId="8" borderId="0" xfId="0" applyNumberFormat="1" applyFont="1" applyFill="1" applyAlignment="1">
      <alignment vertical="center"/>
    </xf>
    <xf numFmtId="3" fontId="4" fillId="8" borderId="0" xfId="0" applyNumberFormat="1" applyFont="1" applyFill="1" applyAlignment="1">
      <alignment vertical="center"/>
    </xf>
    <xf numFmtId="3" fontId="2" fillId="8" borderId="0" xfId="0" applyNumberFormat="1" applyFont="1" applyFill="1" applyAlignment="1">
      <alignment vertical="center"/>
    </xf>
    <xf numFmtId="3" fontId="3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3" fillId="9" borderId="0" xfId="0" applyNumberFormat="1" applyFont="1" applyFill="1" applyAlignment="1">
      <alignment vertical="center"/>
    </xf>
    <xf numFmtId="3" fontId="2" fillId="9" borderId="0" xfId="0" applyNumberFormat="1" applyFont="1" applyFill="1" applyAlignment="1">
      <alignment vertical="center"/>
    </xf>
    <xf numFmtId="3" fontId="3" fillId="10" borderId="0" xfId="0" applyNumberFormat="1" applyFont="1" applyFill="1" applyAlignment="1">
      <alignment vertical="center"/>
    </xf>
    <xf numFmtId="3" fontId="2" fillId="10" borderId="0" xfId="0" applyNumberFormat="1" applyFont="1" applyFill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6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2">
    <tableStyle name="jan26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feb26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O136" headerRowCount="0">
  <tableColumns count="41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</tableColumns>
  <tableStyleInfo name="jan2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O136" headerRowCount="0">
  <tableColumns count="41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  <tableColumn id="34" xr3:uid="{00000000-0010-0000-0100-000022000000}" name="Column34"/>
    <tableColumn id="35" xr3:uid="{00000000-0010-0000-0100-000023000000}" name="Column35"/>
    <tableColumn id="36" xr3:uid="{00000000-0010-0000-0100-000024000000}" name="Column36"/>
    <tableColumn id="37" xr3:uid="{00000000-0010-0000-0100-000025000000}" name="Column37"/>
    <tableColumn id="38" xr3:uid="{00000000-0010-0000-0100-000026000000}" name="Column38"/>
    <tableColumn id="39" xr3:uid="{00000000-0010-0000-0100-000027000000}" name="Column39"/>
    <tableColumn id="40" xr3:uid="{00000000-0010-0000-0100-000028000000}" name="Column40"/>
    <tableColumn id="41" xr3:uid="{00000000-0010-0000-0100-000029000000}" name="Column41"/>
  </tableColumns>
  <tableStyleInfo name="feb2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E986"/>
  <sheetViews>
    <sheetView workbookViewId="0"/>
  </sheetViews>
  <sheetFormatPr defaultColWidth="12.6328125" defaultRowHeight="15" customHeight="1" x14ac:dyDescent="0.6"/>
  <sheetData>
    <row r="1" spans="1:5" ht="33.75" customHeight="1" x14ac:dyDescent="0.6">
      <c r="A1" s="1">
        <v>2024</v>
      </c>
      <c r="B1" s="2"/>
      <c r="C1" s="3"/>
      <c r="D1" s="3"/>
      <c r="E1" s="3"/>
    </row>
    <row r="2" spans="1:5" ht="13" x14ac:dyDescent="0.6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</row>
    <row r="3" spans="1:5" ht="13" x14ac:dyDescent="0.6">
      <c r="A3" s="4" t="s">
        <v>5</v>
      </c>
      <c r="B3" s="5" t="s">
        <v>6</v>
      </c>
      <c r="C3" s="6">
        <v>42818</v>
      </c>
      <c r="D3" s="6">
        <v>149919</v>
      </c>
      <c r="E3" s="6">
        <v>30900</v>
      </c>
    </row>
    <row r="4" spans="1:5" ht="13" x14ac:dyDescent="0.6">
      <c r="A4" s="4" t="s">
        <v>7</v>
      </c>
      <c r="B4" s="5" t="s">
        <v>6</v>
      </c>
      <c r="C4" s="6">
        <v>39657</v>
      </c>
      <c r="D4" s="6">
        <v>149103</v>
      </c>
      <c r="E4" s="6">
        <v>31470</v>
      </c>
    </row>
    <row r="5" spans="1:5" ht="13" x14ac:dyDescent="0.6">
      <c r="A5" s="4" t="s">
        <v>8</v>
      </c>
      <c r="B5" s="5" t="s">
        <v>6</v>
      </c>
      <c r="C5" s="6">
        <v>40221</v>
      </c>
      <c r="D5" s="6">
        <v>151086</v>
      </c>
      <c r="E5" s="6">
        <v>33181</v>
      </c>
    </row>
    <row r="6" spans="1:5" ht="13" x14ac:dyDescent="0.6">
      <c r="A6" s="4" t="s">
        <v>9</v>
      </c>
      <c r="B6" s="5" t="s">
        <v>6</v>
      </c>
      <c r="C6" s="6">
        <v>43218</v>
      </c>
      <c r="D6" s="6">
        <v>152151</v>
      </c>
      <c r="E6" s="6">
        <v>33076</v>
      </c>
    </row>
    <row r="7" spans="1:5" ht="13" x14ac:dyDescent="0.6">
      <c r="A7" s="4" t="s">
        <v>10</v>
      </c>
      <c r="B7" s="7" t="s">
        <v>11</v>
      </c>
      <c r="C7" s="6">
        <v>46300</v>
      </c>
      <c r="D7" s="6">
        <v>153000</v>
      </c>
      <c r="E7" s="6">
        <v>33400</v>
      </c>
    </row>
    <row r="8" spans="1:5" ht="13" x14ac:dyDescent="0.6">
      <c r="A8" s="4"/>
      <c r="B8" s="7" t="s">
        <v>12</v>
      </c>
      <c r="C8" s="6">
        <v>46904</v>
      </c>
      <c r="D8" s="6">
        <v>155515</v>
      </c>
      <c r="E8" s="6">
        <v>31157</v>
      </c>
    </row>
    <row r="9" spans="1:5" ht="13" x14ac:dyDescent="0.6">
      <c r="A9" s="4" t="s">
        <v>13</v>
      </c>
      <c r="B9" s="7" t="s">
        <v>11</v>
      </c>
      <c r="C9" s="6">
        <v>43289</v>
      </c>
      <c r="D9" s="6">
        <v>153000</v>
      </c>
      <c r="E9" s="6">
        <v>32889</v>
      </c>
    </row>
    <row r="10" spans="1:5" ht="13" x14ac:dyDescent="0.6">
      <c r="A10" s="4"/>
      <c r="B10" s="7" t="s">
        <v>12</v>
      </c>
      <c r="C10" s="6">
        <v>44476</v>
      </c>
      <c r="D10" s="6">
        <v>156291</v>
      </c>
      <c r="E10" s="6">
        <v>30861</v>
      </c>
    </row>
    <row r="11" spans="1:5" ht="13" x14ac:dyDescent="0.6">
      <c r="A11" s="4" t="s">
        <v>14</v>
      </c>
      <c r="B11" s="7" t="s">
        <v>11</v>
      </c>
      <c r="C11" s="6">
        <v>39924</v>
      </c>
      <c r="D11" s="6">
        <v>153000</v>
      </c>
      <c r="E11" s="6">
        <v>33922</v>
      </c>
    </row>
    <row r="12" spans="1:5" ht="13" x14ac:dyDescent="0.6">
      <c r="A12" s="4"/>
      <c r="B12" s="7" t="s">
        <v>12</v>
      </c>
      <c r="C12" s="6">
        <v>41398</v>
      </c>
      <c r="D12" s="6">
        <v>156141</v>
      </c>
      <c r="E12" s="6">
        <v>31839</v>
      </c>
    </row>
    <row r="13" spans="1:5" ht="13" x14ac:dyDescent="0.6">
      <c r="A13" s="4" t="s">
        <v>15</v>
      </c>
      <c r="B13" s="7" t="s">
        <v>11</v>
      </c>
      <c r="C13" s="6">
        <v>38279</v>
      </c>
      <c r="D13" s="6">
        <v>153000</v>
      </c>
      <c r="E13" s="6">
        <v>33710</v>
      </c>
    </row>
    <row r="14" spans="1:5" ht="13" x14ac:dyDescent="0.6">
      <c r="A14" s="4"/>
      <c r="B14" s="7" t="s">
        <v>12</v>
      </c>
      <c r="C14" s="6">
        <v>38858</v>
      </c>
      <c r="D14" s="6">
        <v>156016</v>
      </c>
      <c r="E14" s="6">
        <v>30901</v>
      </c>
    </row>
    <row r="15" spans="1:5" ht="13" x14ac:dyDescent="0.6">
      <c r="A15" s="4" t="s">
        <v>16</v>
      </c>
      <c r="B15" s="7" t="s">
        <v>11</v>
      </c>
      <c r="C15" s="6">
        <v>40847</v>
      </c>
      <c r="D15" s="6">
        <v>152800</v>
      </c>
      <c r="E15" s="6">
        <v>32618</v>
      </c>
    </row>
    <row r="16" spans="1:5" ht="13" x14ac:dyDescent="0.6">
      <c r="A16" s="4"/>
      <c r="B16" s="7" t="s">
        <v>12</v>
      </c>
      <c r="C16" s="6">
        <v>41109</v>
      </c>
      <c r="D16" s="6">
        <v>155595</v>
      </c>
      <c r="E16" s="6">
        <v>29530</v>
      </c>
    </row>
    <row r="17" spans="1:5" ht="13" x14ac:dyDescent="0.6">
      <c r="A17" s="4" t="s">
        <v>17</v>
      </c>
      <c r="B17" s="7" t="s">
        <v>11</v>
      </c>
      <c r="C17" s="6">
        <v>40878</v>
      </c>
      <c r="D17" s="6">
        <v>153000</v>
      </c>
      <c r="E17" s="6">
        <v>31986</v>
      </c>
    </row>
    <row r="18" spans="1:5" ht="13" x14ac:dyDescent="0.6">
      <c r="A18" s="4"/>
      <c r="B18" s="7" t="s">
        <v>12</v>
      </c>
      <c r="C18" s="6">
        <v>41740</v>
      </c>
      <c r="D18" s="6">
        <v>155477</v>
      </c>
      <c r="E18" s="6">
        <v>28943</v>
      </c>
    </row>
    <row r="19" spans="1:5" ht="13" x14ac:dyDescent="0.6">
      <c r="A19" s="4" t="s">
        <v>18</v>
      </c>
      <c r="B19" s="7" t="s">
        <v>11</v>
      </c>
      <c r="C19" s="6">
        <v>40333</v>
      </c>
      <c r="D19" s="6">
        <v>153000</v>
      </c>
      <c r="E19" s="6">
        <v>32452</v>
      </c>
    </row>
    <row r="20" spans="1:5" ht="13" x14ac:dyDescent="0.6">
      <c r="A20" s="4"/>
      <c r="B20" s="7" t="s">
        <v>12</v>
      </c>
      <c r="C20" s="6">
        <v>40025</v>
      </c>
      <c r="D20" s="6">
        <v>155835</v>
      </c>
      <c r="E20" s="6">
        <v>29407</v>
      </c>
    </row>
    <row r="21" spans="1:5" ht="13" x14ac:dyDescent="0.6">
      <c r="A21" s="4" t="s">
        <v>19</v>
      </c>
      <c r="B21" s="7" t="s">
        <v>11</v>
      </c>
      <c r="C21" s="6">
        <v>42205</v>
      </c>
      <c r="D21" s="6">
        <v>153000</v>
      </c>
      <c r="E21" s="6">
        <v>34159</v>
      </c>
    </row>
    <row r="22" spans="1:5" ht="13" x14ac:dyDescent="0.6">
      <c r="A22" s="4"/>
      <c r="B22" s="7" t="s">
        <v>12</v>
      </c>
      <c r="C22" s="6">
        <v>40919</v>
      </c>
      <c r="D22" s="6">
        <v>155823</v>
      </c>
      <c r="E22" s="6">
        <v>31615</v>
      </c>
    </row>
    <row r="23" spans="1:5" ht="13" x14ac:dyDescent="0.6">
      <c r="A23" s="4"/>
      <c r="C23" s="6"/>
      <c r="D23" s="6"/>
      <c r="E23" s="6"/>
    </row>
    <row r="24" spans="1:5" ht="13" x14ac:dyDescent="0.6">
      <c r="C24" s="6"/>
      <c r="D24" s="6"/>
      <c r="E24" s="6"/>
    </row>
    <row r="25" spans="1:5" ht="13" x14ac:dyDescent="0.6">
      <c r="C25" s="6"/>
      <c r="D25" s="6"/>
      <c r="E25" s="6"/>
    </row>
    <row r="26" spans="1:5" ht="13" x14ac:dyDescent="0.6">
      <c r="C26" s="6"/>
      <c r="D26" s="6"/>
      <c r="E26" s="6"/>
    </row>
    <row r="27" spans="1:5" ht="13" x14ac:dyDescent="0.6">
      <c r="C27" s="6"/>
      <c r="D27" s="6"/>
      <c r="E27" s="6"/>
    </row>
    <row r="28" spans="1:5" ht="13" x14ac:dyDescent="0.6">
      <c r="C28" s="6"/>
      <c r="D28" s="6"/>
      <c r="E28" s="6"/>
    </row>
    <row r="29" spans="1:5" ht="13" x14ac:dyDescent="0.6">
      <c r="C29" s="6"/>
      <c r="D29" s="6"/>
      <c r="E29" s="6"/>
    </row>
    <row r="30" spans="1:5" ht="13" x14ac:dyDescent="0.6">
      <c r="C30" s="6"/>
      <c r="D30" s="6"/>
      <c r="E30" s="6"/>
    </row>
    <row r="31" spans="1:5" ht="13" x14ac:dyDescent="0.6">
      <c r="C31" s="6"/>
      <c r="D31" s="6"/>
      <c r="E31" s="6"/>
    </row>
    <row r="32" spans="1:5" ht="13" x14ac:dyDescent="0.6">
      <c r="C32" s="6"/>
      <c r="D32" s="6"/>
      <c r="E32" s="6"/>
    </row>
    <row r="33" spans="3:5" ht="13" x14ac:dyDescent="0.6">
      <c r="C33" s="6"/>
      <c r="D33" s="6"/>
      <c r="E33" s="6"/>
    </row>
    <row r="34" spans="3:5" ht="13" x14ac:dyDescent="0.6">
      <c r="C34" s="6"/>
      <c r="D34" s="6"/>
      <c r="E34" s="6"/>
    </row>
    <row r="35" spans="3:5" ht="13" x14ac:dyDescent="0.6">
      <c r="C35" s="6"/>
      <c r="D35" s="6"/>
      <c r="E35" s="6"/>
    </row>
    <row r="36" spans="3:5" ht="13" x14ac:dyDescent="0.6">
      <c r="C36" s="6"/>
      <c r="D36" s="6"/>
      <c r="E36" s="6"/>
    </row>
    <row r="37" spans="3:5" ht="13" x14ac:dyDescent="0.6">
      <c r="C37" s="6"/>
      <c r="D37" s="6"/>
      <c r="E37" s="6"/>
    </row>
    <row r="38" spans="3:5" ht="13" x14ac:dyDescent="0.6">
      <c r="C38" s="6"/>
      <c r="D38" s="6"/>
      <c r="E38" s="6"/>
    </row>
    <row r="39" spans="3:5" ht="13" x14ac:dyDescent="0.6">
      <c r="C39" s="6"/>
      <c r="D39" s="6"/>
      <c r="E39" s="6"/>
    </row>
    <row r="40" spans="3:5" ht="13" x14ac:dyDescent="0.6">
      <c r="C40" s="6"/>
      <c r="D40" s="6"/>
      <c r="E40" s="6"/>
    </row>
    <row r="41" spans="3:5" ht="13" x14ac:dyDescent="0.6">
      <c r="C41" s="6"/>
      <c r="D41" s="6"/>
      <c r="E41" s="6"/>
    </row>
    <row r="42" spans="3:5" ht="13" x14ac:dyDescent="0.6">
      <c r="C42" s="6"/>
      <c r="D42" s="6"/>
      <c r="E42" s="6"/>
    </row>
    <row r="43" spans="3:5" ht="13" x14ac:dyDescent="0.6">
      <c r="C43" s="6"/>
      <c r="D43" s="6"/>
      <c r="E43" s="6"/>
    </row>
    <row r="44" spans="3:5" ht="13" x14ac:dyDescent="0.6">
      <c r="C44" s="6"/>
      <c r="D44" s="6"/>
      <c r="E44" s="6"/>
    </row>
    <row r="45" spans="3:5" ht="13" x14ac:dyDescent="0.6">
      <c r="C45" s="6"/>
      <c r="D45" s="6"/>
      <c r="E45" s="6"/>
    </row>
    <row r="46" spans="3:5" ht="13" x14ac:dyDescent="0.6">
      <c r="C46" s="6"/>
      <c r="D46" s="6"/>
      <c r="E46" s="6"/>
    </row>
    <row r="47" spans="3:5" ht="13" x14ac:dyDescent="0.6">
      <c r="C47" s="6"/>
      <c r="D47" s="6"/>
      <c r="E47" s="6"/>
    </row>
    <row r="48" spans="3:5" ht="13" x14ac:dyDescent="0.6">
      <c r="C48" s="6"/>
      <c r="D48" s="6"/>
      <c r="E48" s="6"/>
    </row>
    <row r="49" spans="3:5" ht="13" x14ac:dyDescent="0.6">
      <c r="C49" s="6"/>
      <c r="D49" s="6"/>
      <c r="E49" s="6"/>
    </row>
    <row r="50" spans="3:5" ht="13" x14ac:dyDescent="0.6">
      <c r="C50" s="6"/>
      <c r="D50" s="6"/>
      <c r="E50" s="6"/>
    </row>
    <row r="51" spans="3:5" ht="13" x14ac:dyDescent="0.6">
      <c r="C51" s="6"/>
      <c r="D51" s="6"/>
      <c r="E51" s="6"/>
    </row>
    <row r="52" spans="3:5" ht="13" x14ac:dyDescent="0.6">
      <c r="C52" s="6"/>
      <c r="D52" s="6"/>
      <c r="E52" s="6"/>
    </row>
    <row r="53" spans="3:5" ht="13" x14ac:dyDescent="0.6">
      <c r="C53" s="6"/>
      <c r="D53" s="6"/>
      <c r="E53" s="6"/>
    </row>
    <row r="54" spans="3:5" ht="13" x14ac:dyDescent="0.6">
      <c r="C54" s="6"/>
      <c r="D54" s="6"/>
      <c r="E54" s="6"/>
    </row>
    <row r="55" spans="3:5" ht="13" x14ac:dyDescent="0.6">
      <c r="C55" s="6"/>
      <c r="D55" s="6"/>
      <c r="E55" s="6"/>
    </row>
    <row r="56" spans="3:5" ht="13" x14ac:dyDescent="0.6">
      <c r="C56" s="6"/>
      <c r="D56" s="6"/>
      <c r="E56" s="6"/>
    </row>
    <row r="57" spans="3:5" ht="13" x14ac:dyDescent="0.6">
      <c r="C57" s="6"/>
      <c r="D57" s="6"/>
      <c r="E57" s="6"/>
    </row>
    <row r="58" spans="3:5" ht="13" x14ac:dyDescent="0.6">
      <c r="C58" s="6"/>
      <c r="D58" s="6"/>
      <c r="E58" s="6"/>
    </row>
    <row r="59" spans="3:5" ht="13" x14ac:dyDescent="0.6">
      <c r="C59" s="6"/>
      <c r="D59" s="6"/>
      <c r="E59" s="6"/>
    </row>
    <row r="60" spans="3:5" ht="13" x14ac:dyDescent="0.6">
      <c r="C60" s="6"/>
      <c r="D60" s="6"/>
      <c r="E60" s="6"/>
    </row>
    <row r="61" spans="3:5" ht="13" x14ac:dyDescent="0.6">
      <c r="C61" s="6"/>
      <c r="D61" s="6"/>
      <c r="E61" s="6"/>
    </row>
    <row r="62" spans="3:5" ht="13" x14ac:dyDescent="0.6">
      <c r="C62" s="6"/>
      <c r="D62" s="6"/>
      <c r="E62" s="6"/>
    </row>
    <row r="63" spans="3:5" ht="13" x14ac:dyDescent="0.6">
      <c r="C63" s="6"/>
      <c r="D63" s="6"/>
      <c r="E63" s="6"/>
    </row>
    <row r="64" spans="3:5" ht="13" x14ac:dyDescent="0.6">
      <c r="C64" s="6"/>
      <c r="D64" s="6"/>
      <c r="E64" s="6"/>
    </row>
    <row r="65" spans="3:5" ht="13" x14ac:dyDescent="0.6">
      <c r="C65" s="6"/>
      <c r="D65" s="6"/>
      <c r="E65" s="6"/>
    </row>
    <row r="66" spans="3:5" ht="13" x14ac:dyDescent="0.6">
      <c r="C66" s="6"/>
      <c r="D66" s="6"/>
      <c r="E66" s="6"/>
    </row>
    <row r="67" spans="3:5" ht="13" x14ac:dyDescent="0.6">
      <c r="C67" s="6"/>
      <c r="D67" s="6"/>
      <c r="E67" s="6"/>
    </row>
    <row r="68" spans="3:5" ht="13" x14ac:dyDescent="0.6">
      <c r="C68" s="6"/>
      <c r="D68" s="6"/>
      <c r="E68" s="6"/>
    </row>
    <row r="69" spans="3:5" ht="13" x14ac:dyDescent="0.6">
      <c r="C69" s="6"/>
      <c r="D69" s="6"/>
      <c r="E69" s="6"/>
    </row>
    <row r="70" spans="3:5" ht="13" x14ac:dyDescent="0.6">
      <c r="C70" s="6"/>
      <c r="D70" s="6"/>
      <c r="E70" s="6"/>
    </row>
    <row r="71" spans="3:5" ht="13" x14ac:dyDescent="0.6">
      <c r="C71" s="6"/>
      <c r="D71" s="6"/>
      <c r="E71" s="6"/>
    </row>
    <row r="72" spans="3:5" ht="13" x14ac:dyDescent="0.6">
      <c r="C72" s="6"/>
      <c r="D72" s="6"/>
      <c r="E72" s="6"/>
    </row>
    <row r="73" spans="3:5" ht="13" x14ac:dyDescent="0.6">
      <c r="C73" s="6"/>
      <c r="D73" s="6"/>
      <c r="E73" s="6"/>
    </row>
    <row r="74" spans="3:5" ht="13" x14ac:dyDescent="0.6">
      <c r="C74" s="6"/>
      <c r="D74" s="6"/>
      <c r="E74" s="6"/>
    </row>
    <row r="75" spans="3:5" ht="13" x14ac:dyDescent="0.6">
      <c r="C75" s="6"/>
      <c r="D75" s="6"/>
      <c r="E75" s="6"/>
    </row>
    <row r="76" spans="3:5" ht="13" x14ac:dyDescent="0.6">
      <c r="C76" s="6"/>
      <c r="D76" s="6"/>
      <c r="E76" s="6"/>
    </row>
    <row r="77" spans="3:5" ht="13" x14ac:dyDescent="0.6">
      <c r="C77" s="6"/>
      <c r="D77" s="6"/>
      <c r="E77" s="6"/>
    </row>
    <row r="78" spans="3:5" ht="13" x14ac:dyDescent="0.6">
      <c r="C78" s="6"/>
      <c r="D78" s="6"/>
      <c r="E78" s="6"/>
    </row>
    <row r="79" spans="3:5" ht="13" x14ac:dyDescent="0.6">
      <c r="C79" s="6"/>
      <c r="D79" s="6"/>
      <c r="E79" s="6"/>
    </row>
    <row r="80" spans="3:5" ht="13" x14ac:dyDescent="0.6">
      <c r="C80" s="6"/>
      <c r="D80" s="6"/>
      <c r="E80" s="6"/>
    </row>
    <row r="81" spans="3:5" ht="13" x14ac:dyDescent="0.6">
      <c r="C81" s="6"/>
      <c r="D81" s="6"/>
      <c r="E81" s="6"/>
    </row>
    <row r="82" spans="3:5" ht="13" x14ac:dyDescent="0.6">
      <c r="C82" s="6"/>
      <c r="D82" s="6"/>
      <c r="E82" s="6"/>
    </row>
    <row r="83" spans="3:5" ht="13" x14ac:dyDescent="0.6">
      <c r="C83" s="6"/>
      <c r="D83" s="6"/>
      <c r="E83" s="6"/>
    </row>
    <row r="84" spans="3:5" ht="13" x14ac:dyDescent="0.6">
      <c r="C84" s="6"/>
      <c r="D84" s="6"/>
      <c r="E84" s="6"/>
    </row>
    <row r="85" spans="3:5" ht="13" x14ac:dyDescent="0.6">
      <c r="C85" s="6"/>
      <c r="D85" s="6"/>
      <c r="E85" s="6"/>
    </row>
    <row r="86" spans="3:5" ht="13" x14ac:dyDescent="0.6">
      <c r="C86" s="6"/>
      <c r="D86" s="6"/>
      <c r="E86" s="6"/>
    </row>
    <row r="87" spans="3:5" ht="13" x14ac:dyDescent="0.6">
      <c r="C87" s="6"/>
      <c r="D87" s="6"/>
      <c r="E87" s="6"/>
    </row>
    <row r="88" spans="3:5" ht="13" x14ac:dyDescent="0.6">
      <c r="C88" s="6"/>
      <c r="D88" s="6"/>
      <c r="E88" s="6"/>
    </row>
    <row r="89" spans="3:5" ht="13" x14ac:dyDescent="0.6">
      <c r="C89" s="6"/>
      <c r="D89" s="6"/>
      <c r="E89" s="6"/>
    </row>
    <row r="90" spans="3:5" ht="13" x14ac:dyDescent="0.6">
      <c r="C90" s="6"/>
      <c r="D90" s="6"/>
      <c r="E90" s="6"/>
    </row>
    <row r="91" spans="3:5" ht="13" x14ac:dyDescent="0.6">
      <c r="C91" s="6"/>
      <c r="D91" s="6"/>
      <c r="E91" s="6"/>
    </row>
    <row r="92" spans="3:5" ht="13" x14ac:dyDescent="0.6">
      <c r="C92" s="6"/>
      <c r="D92" s="6"/>
      <c r="E92" s="6"/>
    </row>
    <row r="93" spans="3:5" ht="13" x14ac:dyDescent="0.6">
      <c r="C93" s="6"/>
      <c r="D93" s="6"/>
      <c r="E93" s="6"/>
    </row>
    <row r="94" spans="3:5" ht="13" x14ac:dyDescent="0.6">
      <c r="C94" s="6"/>
      <c r="D94" s="6"/>
      <c r="E94" s="6"/>
    </row>
    <row r="95" spans="3:5" ht="13" x14ac:dyDescent="0.6">
      <c r="C95" s="6"/>
      <c r="D95" s="6"/>
      <c r="E95" s="6"/>
    </row>
    <row r="96" spans="3:5" ht="13" x14ac:dyDescent="0.6">
      <c r="C96" s="6"/>
      <c r="D96" s="6"/>
      <c r="E96" s="6"/>
    </row>
    <row r="97" spans="3:5" ht="13" x14ac:dyDescent="0.6">
      <c r="C97" s="6"/>
      <c r="D97" s="6"/>
      <c r="E97" s="6"/>
    </row>
    <row r="98" spans="3:5" ht="13" x14ac:dyDescent="0.6">
      <c r="C98" s="6"/>
      <c r="D98" s="6"/>
      <c r="E98" s="6"/>
    </row>
    <row r="99" spans="3:5" ht="13" x14ac:dyDescent="0.6">
      <c r="C99" s="6"/>
      <c r="D99" s="6"/>
      <c r="E99" s="6"/>
    </row>
    <row r="100" spans="3:5" ht="13" x14ac:dyDescent="0.6">
      <c r="C100" s="6"/>
      <c r="D100" s="6"/>
      <c r="E100" s="6"/>
    </row>
    <row r="101" spans="3:5" ht="13" x14ac:dyDescent="0.6">
      <c r="C101" s="6"/>
      <c r="D101" s="6"/>
      <c r="E101" s="6"/>
    </row>
    <row r="102" spans="3:5" ht="13" x14ac:dyDescent="0.6">
      <c r="C102" s="6"/>
      <c r="D102" s="6"/>
      <c r="E102" s="6"/>
    </row>
    <row r="103" spans="3:5" ht="13" x14ac:dyDescent="0.6">
      <c r="C103" s="6"/>
      <c r="D103" s="6"/>
      <c r="E103" s="6"/>
    </row>
    <row r="104" spans="3:5" ht="13" x14ac:dyDescent="0.6">
      <c r="C104" s="6"/>
      <c r="D104" s="6"/>
      <c r="E104" s="6"/>
    </row>
    <row r="105" spans="3:5" ht="13" x14ac:dyDescent="0.6">
      <c r="C105" s="6"/>
      <c r="D105" s="6"/>
      <c r="E105" s="6"/>
    </row>
    <row r="106" spans="3:5" ht="13" x14ac:dyDescent="0.6">
      <c r="C106" s="6"/>
      <c r="D106" s="6"/>
      <c r="E106" s="6"/>
    </row>
    <row r="107" spans="3:5" ht="13" x14ac:dyDescent="0.6">
      <c r="C107" s="6"/>
      <c r="D107" s="6"/>
      <c r="E107" s="6"/>
    </row>
    <row r="108" spans="3:5" ht="13" x14ac:dyDescent="0.6">
      <c r="C108" s="6"/>
      <c r="D108" s="6"/>
      <c r="E108" s="6"/>
    </row>
    <row r="109" spans="3:5" ht="13" x14ac:dyDescent="0.6">
      <c r="C109" s="6"/>
      <c r="D109" s="6"/>
      <c r="E109" s="6"/>
    </row>
    <row r="110" spans="3:5" ht="13" x14ac:dyDescent="0.6">
      <c r="C110" s="6"/>
      <c r="D110" s="6"/>
      <c r="E110" s="6"/>
    </row>
    <row r="111" spans="3:5" ht="13" x14ac:dyDescent="0.6">
      <c r="C111" s="6"/>
      <c r="D111" s="6"/>
      <c r="E111" s="6"/>
    </row>
    <row r="112" spans="3:5" ht="13" x14ac:dyDescent="0.6">
      <c r="C112" s="6"/>
      <c r="D112" s="6"/>
      <c r="E112" s="6"/>
    </row>
    <row r="113" spans="3:5" ht="13" x14ac:dyDescent="0.6">
      <c r="C113" s="6"/>
      <c r="D113" s="6"/>
      <c r="E113" s="6"/>
    </row>
    <row r="114" spans="3:5" ht="13" x14ac:dyDescent="0.6">
      <c r="C114" s="6"/>
      <c r="D114" s="6"/>
      <c r="E114" s="6"/>
    </row>
    <row r="115" spans="3:5" ht="13" x14ac:dyDescent="0.6">
      <c r="C115" s="6"/>
      <c r="D115" s="6"/>
      <c r="E115" s="6"/>
    </row>
    <row r="116" spans="3:5" ht="13" x14ac:dyDescent="0.6">
      <c r="C116" s="6"/>
      <c r="D116" s="6"/>
      <c r="E116" s="6"/>
    </row>
    <row r="117" spans="3:5" ht="13" x14ac:dyDescent="0.6">
      <c r="C117" s="6"/>
      <c r="D117" s="6"/>
      <c r="E117" s="6"/>
    </row>
    <row r="118" spans="3:5" ht="13" x14ac:dyDescent="0.6">
      <c r="C118" s="6"/>
      <c r="D118" s="6"/>
      <c r="E118" s="6"/>
    </row>
    <row r="119" spans="3:5" ht="13" x14ac:dyDescent="0.6">
      <c r="C119" s="6"/>
      <c r="D119" s="6"/>
      <c r="E119" s="6"/>
    </row>
    <row r="120" spans="3:5" ht="13" x14ac:dyDescent="0.6">
      <c r="C120" s="6"/>
      <c r="D120" s="6"/>
      <c r="E120" s="6"/>
    </row>
    <row r="121" spans="3:5" ht="13" x14ac:dyDescent="0.6">
      <c r="C121" s="6"/>
      <c r="D121" s="6"/>
      <c r="E121" s="6"/>
    </row>
    <row r="122" spans="3:5" ht="13" x14ac:dyDescent="0.6">
      <c r="C122" s="6"/>
      <c r="D122" s="6"/>
      <c r="E122" s="6"/>
    </row>
    <row r="123" spans="3:5" ht="13" x14ac:dyDescent="0.6">
      <c r="C123" s="6"/>
      <c r="D123" s="6"/>
      <c r="E123" s="6"/>
    </row>
    <row r="124" spans="3:5" ht="13" x14ac:dyDescent="0.6">
      <c r="C124" s="6"/>
      <c r="D124" s="6"/>
      <c r="E124" s="6"/>
    </row>
    <row r="125" spans="3:5" ht="13" x14ac:dyDescent="0.6">
      <c r="C125" s="6"/>
      <c r="D125" s="6"/>
      <c r="E125" s="6"/>
    </row>
    <row r="126" spans="3:5" ht="13" x14ac:dyDescent="0.6">
      <c r="C126" s="6"/>
      <c r="D126" s="6"/>
      <c r="E126" s="6"/>
    </row>
    <row r="127" spans="3:5" ht="13" x14ac:dyDescent="0.6">
      <c r="C127" s="6"/>
      <c r="D127" s="6"/>
      <c r="E127" s="6"/>
    </row>
    <row r="128" spans="3:5" ht="13" x14ac:dyDescent="0.6">
      <c r="C128" s="6"/>
      <c r="D128" s="6"/>
      <c r="E128" s="6"/>
    </row>
    <row r="129" spans="3:5" ht="13" x14ac:dyDescent="0.6">
      <c r="C129" s="6"/>
      <c r="D129" s="6"/>
      <c r="E129" s="6"/>
    </row>
    <row r="130" spans="3:5" ht="13" x14ac:dyDescent="0.6">
      <c r="C130" s="6"/>
      <c r="D130" s="6"/>
      <c r="E130" s="6"/>
    </row>
    <row r="131" spans="3:5" ht="13" x14ac:dyDescent="0.6">
      <c r="C131" s="6"/>
      <c r="D131" s="6"/>
      <c r="E131" s="6"/>
    </row>
    <row r="132" spans="3:5" ht="13" x14ac:dyDescent="0.6">
      <c r="C132" s="6"/>
      <c r="D132" s="6"/>
      <c r="E132" s="6"/>
    </row>
    <row r="133" spans="3:5" ht="13" x14ac:dyDescent="0.6">
      <c r="C133" s="6"/>
      <c r="D133" s="6"/>
      <c r="E133" s="6"/>
    </row>
    <row r="134" spans="3:5" ht="13" x14ac:dyDescent="0.6">
      <c r="C134" s="6"/>
      <c r="D134" s="6"/>
      <c r="E134" s="6"/>
    </row>
    <row r="135" spans="3:5" ht="13" x14ac:dyDescent="0.6">
      <c r="C135" s="6"/>
      <c r="D135" s="6"/>
      <c r="E135" s="6"/>
    </row>
    <row r="136" spans="3:5" ht="13" x14ac:dyDescent="0.6">
      <c r="C136" s="6"/>
      <c r="D136" s="6"/>
      <c r="E136" s="6"/>
    </row>
    <row r="137" spans="3:5" ht="13" x14ac:dyDescent="0.6">
      <c r="C137" s="6"/>
      <c r="D137" s="6"/>
      <c r="E137" s="6"/>
    </row>
    <row r="138" spans="3:5" ht="13" x14ac:dyDescent="0.6">
      <c r="C138" s="6"/>
      <c r="D138" s="6"/>
      <c r="E138" s="6"/>
    </row>
    <row r="139" spans="3:5" ht="13" x14ac:dyDescent="0.6">
      <c r="C139" s="6"/>
      <c r="D139" s="6"/>
      <c r="E139" s="6"/>
    </row>
    <row r="140" spans="3:5" ht="13" x14ac:dyDescent="0.6">
      <c r="C140" s="6"/>
      <c r="D140" s="6"/>
      <c r="E140" s="6"/>
    </row>
    <row r="141" spans="3:5" ht="13" x14ac:dyDescent="0.6">
      <c r="C141" s="6"/>
      <c r="D141" s="6"/>
      <c r="E141" s="6"/>
    </row>
    <row r="142" spans="3:5" ht="13" x14ac:dyDescent="0.6">
      <c r="C142" s="6"/>
      <c r="D142" s="6"/>
      <c r="E142" s="6"/>
    </row>
    <row r="143" spans="3:5" ht="13" x14ac:dyDescent="0.6">
      <c r="C143" s="6"/>
      <c r="D143" s="6"/>
      <c r="E143" s="6"/>
    </row>
    <row r="144" spans="3:5" ht="13" x14ac:dyDescent="0.6">
      <c r="C144" s="6"/>
      <c r="D144" s="6"/>
      <c r="E144" s="6"/>
    </row>
    <row r="145" spans="3:5" ht="13" x14ac:dyDescent="0.6">
      <c r="C145" s="6"/>
      <c r="D145" s="6"/>
      <c r="E145" s="6"/>
    </row>
    <row r="146" spans="3:5" ht="13" x14ac:dyDescent="0.6">
      <c r="C146" s="6"/>
      <c r="D146" s="6"/>
      <c r="E146" s="6"/>
    </row>
    <row r="147" spans="3:5" ht="13" x14ac:dyDescent="0.6">
      <c r="C147" s="6"/>
      <c r="D147" s="6"/>
      <c r="E147" s="6"/>
    </row>
    <row r="148" spans="3:5" ht="13" x14ac:dyDescent="0.6">
      <c r="C148" s="6"/>
      <c r="D148" s="6"/>
      <c r="E148" s="6"/>
    </row>
    <row r="149" spans="3:5" ht="13" x14ac:dyDescent="0.6">
      <c r="C149" s="6"/>
      <c r="D149" s="6"/>
      <c r="E149" s="6"/>
    </row>
    <row r="150" spans="3:5" ht="13" x14ac:dyDescent="0.6">
      <c r="C150" s="6"/>
      <c r="D150" s="6"/>
      <c r="E150" s="6"/>
    </row>
    <row r="151" spans="3:5" ht="13" x14ac:dyDescent="0.6">
      <c r="C151" s="6"/>
      <c r="D151" s="6"/>
      <c r="E151" s="6"/>
    </row>
    <row r="152" spans="3:5" ht="13" x14ac:dyDescent="0.6">
      <c r="C152" s="6"/>
      <c r="D152" s="6"/>
      <c r="E152" s="6"/>
    </row>
    <row r="153" spans="3:5" ht="13" x14ac:dyDescent="0.6">
      <c r="C153" s="6"/>
      <c r="D153" s="6"/>
      <c r="E153" s="6"/>
    </row>
    <row r="154" spans="3:5" ht="13" x14ac:dyDescent="0.6">
      <c r="C154" s="6"/>
      <c r="D154" s="6"/>
      <c r="E154" s="6"/>
    </row>
    <row r="155" spans="3:5" ht="13" x14ac:dyDescent="0.6">
      <c r="C155" s="6"/>
      <c r="D155" s="6"/>
      <c r="E155" s="6"/>
    </row>
    <row r="156" spans="3:5" ht="13" x14ac:dyDescent="0.6">
      <c r="C156" s="6"/>
      <c r="D156" s="6"/>
      <c r="E156" s="6"/>
    </row>
    <row r="157" spans="3:5" ht="13" x14ac:dyDescent="0.6">
      <c r="C157" s="6"/>
      <c r="D157" s="6"/>
      <c r="E157" s="6"/>
    </row>
    <row r="158" spans="3:5" ht="13" x14ac:dyDescent="0.6">
      <c r="C158" s="6"/>
      <c r="D158" s="6"/>
      <c r="E158" s="6"/>
    </row>
    <row r="159" spans="3:5" ht="13" x14ac:dyDescent="0.6">
      <c r="C159" s="6"/>
      <c r="D159" s="6"/>
      <c r="E159" s="6"/>
    </row>
    <row r="160" spans="3:5" ht="13" x14ac:dyDescent="0.6">
      <c r="C160" s="6"/>
      <c r="D160" s="6"/>
      <c r="E160" s="6"/>
    </row>
    <row r="161" spans="3:5" ht="13" x14ac:dyDescent="0.6">
      <c r="C161" s="6"/>
      <c r="D161" s="6"/>
      <c r="E161" s="6"/>
    </row>
    <row r="162" spans="3:5" ht="13" x14ac:dyDescent="0.6">
      <c r="C162" s="6"/>
      <c r="D162" s="6"/>
      <c r="E162" s="6"/>
    </row>
    <row r="163" spans="3:5" ht="13" x14ac:dyDescent="0.6">
      <c r="C163" s="6"/>
      <c r="D163" s="6"/>
      <c r="E163" s="6"/>
    </row>
    <row r="164" spans="3:5" ht="13" x14ac:dyDescent="0.6">
      <c r="C164" s="6"/>
      <c r="D164" s="6"/>
      <c r="E164" s="6"/>
    </row>
    <row r="165" spans="3:5" ht="13" x14ac:dyDescent="0.6">
      <c r="C165" s="6"/>
      <c r="D165" s="6"/>
      <c r="E165" s="6"/>
    </row>
    <row r="166" spans="3:5" ht="13" x14ac:dyDescent="0.6">
      <c r="C166" s="6"/>
      <c r="D166" s="6"/>
      <c r="E166" s="6"/>
    </row>
    <row r="167" spans="3:5" ht="13" x14ac:dyDescent="0.6">
      <c r="C167" s="6"/>
      <c r="D167" s="6"/>
      <c r="E167" s="6"/>
    </row>
    <row r="168" spans="3:5" ht="13" x14ac:dyDescent="0.6">
      <c r="C168" s="6"/>
      <c r="D168" s="6"/>
      <c r="E168" s="6"/>
    </row>
    <row r="169" spans="3:5" ht="13" x14ac:dyDescent="0.6">
      <c r="C169" s="6"/>
      <c r="D169" s="6"/>
      <c r="E169" s="6"/>
    </row>
    <row r="170" spans="3:5" ht="13" x14ac:dyDescent="0.6">
      <c r="C170" s="6"/>
      <c r="D170" s="6"/>
      <c r="E170" s="6"/>
    </row>
    <row r="171" spans="3:5" ht="13" x14ac:dyDescent="0.6">
      <c r="C171" s="6"/>
      <c r="D171" s="6"/>
      <c r="E171" s="6"/>
    </row>
    <row r="172" spans="3:5" ht="13" x14ac:dyDescent="0.6">
      <c r="C172" s="6"/>
      <c r="D172" s="6"/>
      <c r="E172" s="6"/>
    </row>
    <row r="173" spans="3:5" ht="13" x14ac:dyDescent="0.6">
      <c r="C173" s="6"/>
      <c r="D173" s="6"/>
      <c r="E173" s="6"/>
    </row>
    <row r="174" spans="3:5" ht="13" x14ac:dyDescent="0.6">
      <c r="C174" s="6"/>
      <c r="D174" s="6"/>
      <c r="E174" s="6"/>
    </row>
    <row r="175" spans="3:5" ht="13" x14ac:dyDescent="0.6">
      <c r="C175" s="6"/>
      <c r="D175" s="6"/>
      <c r="E175" s="6"/>
    </row>
    <row r="176" spans="3:5" ht="13" x14ac:dyDescent="0.6">
      <c r="C176" s="6"/>
      <c r="D176" s="6"/>
      <c r="E176" s="6"/>
    </row>
    <row r="177" spans="3:5" ht="13" x14ac:dyDescent="0.6">
      <c r="C177" s="6"/>
      <c r="D177" s="6"/>
      <c r="E177" s="6"/>
    </row>
    <row r="178" spans="3:5" ht="13" x14ac:dyDescent="0.6">
      <c r="C178" s="6"/>
      <c r="D178" s="6"/>
      <c r="E178" s="6"/>
    </row>
    <row r="179" spans="3:5" ht="13" x14ac:dyDescent="0.6">
      <c r="C179" s="6"/>
      <c r="D179" s="6"/>
      <c r="E179" s="6"/>
    </row>
    <row r="180" spans="3:5" ht="13" x14ac:dyDescent="0.6">
      <c r="C180" s="6"/>
      <c r="D180" s="6"/>
      <c r="E180" s="6"/>
    </row>
    <row r="181" spans="3:5" ht="13" x14ac:dyDescent="0.6">
      <c r="C181" s="6"/>
      <c r="D181" s="6"/>
      <c r="E181" s="6"/>
    </row>
    <row r="182" spans="3:5" ht="13" x14ac:dyDescent="0.6">
      <c r="C182" s="6"/>
      <c r="D182" s="6"/>
      <c r="E182" s="6"/>
    </row>
    <row r="183" spans="3:5" ht="13" x14ac:dyDescent="0.6">
      <c r="C183" s="6"/>
      <c r="D183" s="6"/>
      <c r="E183" s="6"/>
    </row>
    <row r="184" spans="3:5" ht="13" x14ac:dyDescent="0.6">
      <c r="C184" s="6"/>
      <c r="D184" s="6"/>
      <c r="E184" s="6"/>
    </row>
    <row r="185" spans="3:5" ht="13" x14ac:dyDescent="0.6">
      <c r="C185" s="6"/>
      <c r="D185" s="6"/>
      <c r="E185" s="6"/>
    </row>
    <row r="186" spans="3:5" ht="13" x14ac:dyDescent="0.6">
      <c r="C186" s="6"/>
      <c r="D186" s="6"/>
      <c r="E186" s="6"/>
    </row>
    <row r="187" spans="3:5" ht="13" x14ac:dyDescent="0.6">
      <c r="C187" s="6"/>
      <c r="D187" s="6"/>
      <c r="E187" s="6"/>
    </row>
    <row r="188" spans="3:5" ht="13" x14ac:dyDescent="0.6">
      <c r="C188" s="6"/>
      <c r="D188" s="6"/>
      <c r="E188" s="6"/>
    </row>
    <row r="189" spans="3:5" ht="13" x14ac:dyDescent="0.6">
      <c r="C189" s="6"/>
      <c r="D189" s="6"/>
      <c r="E189" s="6"/>
    </row>
    <row r="190" spans="3:5" ht="13" x14ac:dyDescent="0.6">
      <c r="C190" s="6"/>
      <c r="D190" s="6"/>
      <c r="E190" s="6"/>
    </row>
    <row r="191" spans="3:5" ht="13" x14ac:dyDescent="0.6">
      <c r="C191" s="6"/>
      <c r="D191" s="6"/>
      <c r="E191" s="6"/>
    </row>
    <row r="192" spans="3:5" ht="13" x14ac:dyDescent="0.6">
      <c r="C192" s="6"/>
      <c r="D192" s="6"/>
      <c r="E192" s="6"/>
    </row>
    <row r="193" spans="3:5" ht="13" x14ac:dyDescent="0.6">
      <c r="C193" s="6"/>
      <c r="D193" s="6"/>
      <c r="E193" s="6"/>
    </row>
    <row r="194" spans="3:5" ht="13" x14ac:dyDescent="0.6">
      <c r="C194" s="6"/>
      <c r="D194" s="6"/>
      <c r="E194" s="6"/>
    </row>
    <row r="195" spans="3:5" ht="13" x14ac:dyDescent="0.6">
      <c r="C195" s="6"/>
      <c r="D195" s="6"/>
      <c r="E195" s="6"/>
    </row>
    <row r="196" spans="3:5" ht="13" x14ac:dyDescent="0.6">
      <c r="C196" s="6"/>
      <c r="D196" s="6"/>
      <c r="E196" s="6"/>
    </row>
    <row r="197" spans="3:5" ht="13" x14ac:dyDescent="0.6">
      <c r="C197" s="6"/>
      <c r="D197" s="6"/>
      <c r="E197" s="6"/>
    </row>
    <row r="198" spans="3:5" ht="13" x14ac:dyDescent="0.6">
      <c r="C198" s="6"/>
      <c r="D198" s="6"/>
      <c r="E198" s="6"/>
    </row>
    <row r="199" spans="3:5" ht="13" x14ac:dyDescent="0.6">
      <c r="C199" s="6"/>
      <c r="D199" s="6"/>
      <c r="E199" s="6"/>
    </row>
    <row r="200" spans="3:5" ht="13" x14ac:dyDescent="0.6">
      <c r="C200" s="6"/>
      <c r="D200" s="6"/>
      <c r="E200" s="6"/>
    </row>
    <row r="201" spans="3:5" ht="13" x14ac:dyDescent="0.6">
      <c r="C201" s="6"/>
      <c r="D201" s="6"/>
      <c r="E201" s="6"/>
    </row>
    <row r="202" spans="3:5" ht="13" x14ac:dyDescent="0.6">
      <c r="C202" s="6"/>
      <c r="D202" s="6"/>
      <c r="E202" s="6"/>
    </row>
    <row r="203" spans="3:5" ht="13" x14ac:dyDescent="0.6">
      <c r="C203" s="6"/>
      <c r="D203" s="6"/>
      <c r="E203" s="6"/>
    </row>
    <row r="204" spans="3:5" ht="13" x14ac:dyDescent="0.6">
      <c r="C204" s="6"/>
      <c r="D204" s="6"/>
      <c r="E204" s="6"/>
    </row>
    <row r="205" spans="3:5" ht="13" x14ac:dyDescent="0.6">
      <c r="C205" s="6"/>
      <c r="D205" s="6"/>
      <c r="E205" s="6"/>
    </row>
    <row r="206" spans="3:5" ht="13" x14ac:dyDescent="0.6">
      <c r="C206" s="6"/>
      <c r="D206" s="6"/>
      <c r="E206" s="6"/>
    </row>
    <row r="207" spans="3:5" ht="13" x14ac:dyDescent="0.6">
      <c r="C207" s="6"/>
      <c r="D207" s="6"/>
      <c r="E207" s="6"/>
    </row>
    <row r="208" spans="3:5" ht="13" x14ac:dyDescent="0.6">
      <c r="C208" s="6"/>
      <c r="D208" s="6"/>
      <c r="E208" s="6"/>
    </row>
    <row r="209" spans="3:5" ht="13" x14ac:dyDescent="0.6">
      <c r="C209" s="6"/>
      <c r="D209" s="6"/>
      <c r="E209" s="6"/>
    </row>
    <row r="210" spans="3:5" ht="13" x14ac:dyDescent="0.6">
      <c r="C210" s="6"/>
      <c r="D210" s="6"/>
      <c r="E210" s="6"/>
    </row>
    <row r="211" spans="3:5" ht="13" x14ac:dyDescent="0.6">
      <c r="C211" s="6"/>
      <c r="D211" s="6"/>
      <c r="E211" s="6"/>
    </row>
    <row r="212" spans="3:5" ht="13" x14ac:dyDescent="0.6">
      <c r="C212" s="6"/>
      <c r="D212" s="6"/>
      <c r="E212" s="6"/>
    </row>
    <row r="213" spans="3:5" ht="13" x14ac:dyDescent="0.6">
      <c r="C213" s="6"/>
      <c r="D213" s="6"/>
      <c r="E213" s="6"/>
    </row>
    <row r="214" spans="3:5" ht="13" x14ac:dyDescent="0.6">
      <c r="C214" s="6"/>
      <c r="D214" s="6"/>
      <c r="E214" s="6"/>
    </row>
    <row r="215" spans="3:5" ht="13" x14ac:dyDescent="0.6">
      <c r="C215" s="6"/>
      <c r="D215" s="6"/>
      <c r="E215" s="6"/>
    </row>
    <row r="216" spans="3:5" ht="13" x14ac:dyDescent="0.6">
      <c r="C216" s="6"/>
      <c r="D216" s="6"/>
      <c r="E216" s="6"/>
    </row>
    <row r="217" spans="3:5" ht="13" x14ac:dyDescent="0.6">
      <c r="C217" s="6"/>
      <c r="D217" s="6"/>
      <c r="E217" s="6"/>
    </row>
    <row r="218" spans="3:5" ht="13" x14ac:dyDescent="0.6">
      <c r="C218" s="6"/>
      <c r="D218" s="6"/>
      <c r="E218" s="6"/>
    </row>
    <row r="219" spans="3:5" ht="13" x14ac:dyDescent="0.6">
      <c r="C219" s="6"/>
      <c r="D219" s="6"/>
      <c r="E219" s="6"/>
    </row>
    <row r="220" spans="3:5" ht="13" x14ac:dyDescent="0.6">
      <c r="C220" s="6"/>
      <c r="D220" s="6"/>
      <c r="E220" s="6"/>
    </row>
    <row r="221" spans="3:5" ht="13" x14ac:dyDescent="0.6">
      <c r="C221" s="6"/>
      <c r="D221" s="6"/>
      <c r="E221" s="6"/>
    </row>
    <row r="222" spans="3:5" ht="13" x14ac:dyDescent="0.6">
      <c r="C222" s="6"/>
      <c r="D222" s="6"/>
      <c r="E222" s="6"/>
    </row>
    <row r="223" spans="3:5" ht="13" x14ac:dyDescent="0.6">
      <c r="C223" s="6"/>
      <c r="D223" s="6"/>
      <c r="E223" s="6"/>
    </row>
    <row r="224" spans="3:5" ht="13" x14ac:dyDescent="0.6">
      <c r="C224" s="6"/>
      <c r="D224" s="6"/>
      <c r="E224" s="6"/>
    </row>
    <row r="225" spans="3:5" ht="13" x14ac:dyDescent="0.6">
      <c r="C225" s="6"/>
      <c r="D225" s="6"/>
      <c r="E225" s="6"/>
    </row>
    <row r="226" spans="3:5" ht="13" x14ac:dyDescent="0.6">
      <c r="C226" s="6"/>
      <c r="D226" s="6"/>
      <c r="E226" s="6"/>
    </row>
    <row r="227" spans="3:5" ht="13" x14ac:dyDescent="0.6">
      <c r="C227" s="6"/>
      <c r="D227" s="6"/>
      <c r="E227" s="6"/>
    </row>
    <row r="228" spans="3:5" ht="13" x14ac:dyDescent="0.6">
      <c r="C228" s="6"/>
      <c r="D228" s="6"/>
      <c r="E228" s="6"/>
    </row>
    <row r="229" spans="3:5" ht="13" x14ac:dyDescent="0.6">
      <c r="C229" s="6"/>
      <c r="D229" s="6"/>
      <c r="E229" s="6"/>
    </row>
    <row r="230" spans="3:5" ht="13" x14ac:dyDescent="0.6">
      <c r="C230" s="6"/>
      <c r="D230" s="6"/>
      <c r="E230" s="6"/>
    </row>
    <row r="231" spans="3:5" ht="13" x14ac:dyDescent="0.6">
      <c r="C231" s="6"/>
      <c r="D231" s="6"/>
      <c r="E231" s="6"/>
    </row>
    <row r="232" spans="3:5" ht="13" x14ac:dyDescent="0.6">
      <c r="C232" s="6"/>
      <c r="D232" s="6"/>
      <c r="E232" s="6"/>
    </row>
    <row r="233" spans="3:5" ht="13" x14ac:dyDescent="0.6">
      <c r="C233" s="6"/>
      <c r="D233" s="6"/>
      <c r="E233" s="6"/>
    </row>
    <row r="234" spans="3:5" ht="13" x14ac:dyDescent="0.6">
      <c r="C234" s="6"/>
      <c r="D234" s="6"/>
      <c r="E234" s="6"/>
    </row>
    <row r="235" spans="3:5" ht="13" x14ac:dyDescent="0.6">
      <c r="C235" s="6"/>
      <c r="D235" s="6"/>
      <c r="E235" s="6"/>
    </row>
    <row r="236" spans="3:5" ht="13" x14ac:dyDescent="0.6">
      <c r="C236" s="6"/>
      <c r="D236" s="6"/>
      <c r="E236" s="6"/>
    </row>
    <row r="237" spans="3:5" ht="13" x14ac:dyDescent="0.6">
      <c r="C237" s="6"/>
      <c r="D237" s="6"/>
      <c r="E237" s="6"/>
    </row>
    <row r="238" spans="3:5" ht="13" x14ac:dyDescent="0.6">
      <c r="C238" s="6"/>
      <c r="D238" s="6"/>
      <c r="E238" s="6"/>
    </row>
    <row r="239" spans="3:5" ht="13" x14ac:dyDescent="0.6">
      <c r="C239" s="6"/>
      <c r="D239" s="6"/>
      <c r="E239" s="6"/>
    </row>
    <row r="240" spans="3:5" ht="13" x14ac:dyDescent="0.6">
      <c r="C240" s="6"/>
      <c r="D240" s="6"/>
      <c r="E240" s="6"/>
    </row>
    <row r="241" spans="3:5" ht="13" x14ac:dyDescent="0.6">
      <c r="C241" s="6"/>
      <c r="D241" s="6"/>
      <c r="E241" s="6"/>
    </row>
    <row r="242" spans="3:5" ht="13" x14ac:dyDescent="0.6">
      <c r="C242" s="6"/>
      <c r="D242" s="6"/>
      <c r="E242" s="6"/>
    </row>
    <row r="243" spans="3:5" ht="13" x14ac:dyDescent="0.6">
      <c r="C243" s="6"/>
      <c r="D243" s="6"/>
      <c r="E243" s="6"/>
    </row>
    <row r="244" spans="3:5" ht="13" x14ac:dyDescent="0.6">
      <c r="C244" s="6"/>
      <c r="D244" s="6"/>
      <c r="E244" s="6"/>
    </row>
    <row r="245" spans="3:5" ht="13" x14ac:dyDescent="0.6">
      <c r="C245" s="6"/>
      <c r="D245" s="6"/>
      <c r="E245" s="6"/>
    </row>
    <row r="246" spans="3:5" ht="13" x14ac:dyDescent="0.6">
      <c r="C246" s="6"/>
      <c r="D246" s="6"/>
      <c r="E246" s="6"/>
    </row>
    <row r="247" spans="3:5" ht="13" x14ac:dyDescent="0.6">
      <c r="C247" s="6"/>
      <c r="D247" s="6"/>
      <c r="E247" s="6"/>
    </row>
    <row r="248" spans="3:5" ht="13" x14ac:dyDescent="0.6">
      <c r="C248" s="6"/>
      <c r="D248" s="6"/>
      <c r="E248" s="6"/>
    </row>
    <row r="249" spans="3:5" ht="13" x14ac:dyDescent="0.6">
      <c r="C249" s="6"/>
      <c r="D249" s="6"/>
      <c r="E249" s="6"/>
    </row>
    <row r="250" spans="3:5" ht="13" x14ac:dyDescent="0.6">
      <c r="C250" s="6"/>
      <c r="D250" s="6"/>
      <c r="E250" s="6"/>
    </row>
    <row r="251" spans="3:5" ht="13" x14ac:dyDescent="0.6">
      <c r="C251" s="6"/>
      <c r="D251" s="6"/>
      <c r="E251" s="6"/>
    </row>
    <row r="252" spans="3:5" ht="13" x14ac:dyDescent="0.6">
      <c r="C252" s="6"/>
      <c r="D252" s="6"/>
      <c r="E252" s="6"/>
    </row>
    <row r="253" spans="3:5" ht="13" x14ac:dyDescent="0.6">
      <c r="C253" s="6"/>
      <c r="D253" s="6"/>
      <c r="E253" s="6"/>
    </row>
    <row r="254" spans="3:5" ht="13" x14ac:dyDescent="0.6">
      <c r="C254" s="6"/>
      <c r="D254" s="6"/>
      <c r="E254" s="6"/>
    </row>
    <row r="255" spans="3:5" ht="13" x14ac:dyDescent="0.6">
      <c r="C255" s="6"/>
      <c r="D255" s="6"/>
      <c r="E255" s="6"/>
    </row>
    <row r="256" spans="3:5" ht="13" x14ac:dyDescent="0.6">
      <c r="C256" s="6"/>
      <c r="D256" s="6"/>
      <c r="E256" s="6"/>
    </row>
    <row r="257" spans="3:5" ht="13" x14ac:dyDescent="0.6">
      <c r="C257" s="6"/>
      <c r="D257" s="6"/>
      <c r="E257" s="6"/>
    </row>
    <row r="258" spans="3:5" ht="13" x14ac:dyDescent="0.6">
      <c r="C258" s="6"/>
      <c r="D258" s="6"/>
      <c r="E258" s="6"/>
    </row>
    <row r="259" spans="3:5" ht="13" x14ac:dyDescent="0.6">
      <c r="C259" s="6"/>
      <c r="D259" s="6"/>
      <c r="E259" s="6"/>
    </row>
    <row r="260" spans="3:5" ht="13" x14ac:dyDescent="0.6">
      <c r="C260" s="6"/>
      <c r="D260" s="6"/>
      <c r="E260" s="6"/>
    </row>
    <row r="261" spans="3:5" ht="13" x14ac:dyDescent="0.6">
      <c r="C261" s="6"/>
      <c r="D261" s="6"/>
      <c r="E261" s="6"/>
    </row>
    <row r="262" spans="3:5" ht="13" x14ac:dyDescent="0.6">
      <c r="C262" s="6"/>
      <c r="D262" s="6"/>
      <c r="E262" s="6"/>
    </row>
    <row r="263" spans="3:5" ht="13" x14ac:dyDescent="0.6">
      <c r="C263" s="6"/>
      <c r="D263" s="6"/>
      <c r="E263" s="6"/>
    </row>
    <row r="264" spans="3:5" ht="13" x14ac:dyDescent="0.6">
      <c r="C264" s="6"/>
      <c r="D264" s="6"/>
      <c r="E264" s="6"/>
    </row>
    <row r="265" spans="3:5" ht="13" x14ac:dyDescent="0.6">
      <c r="C265" s="6"/>
      <c r="D265" s="6"/>
      <c r="E265" s="6"/>
    </row>
    <row r="266" spans="3:5" ht="13" x14ac:dyDescent="0.6">
      <c r="C266" s="6"/>
      <c r="D266" s="6"/>
      <c r="E266" s="6"/>
    </row>
    <row r="267" spans="3:5" ht="13" x14ac:dyDescent="0.6">
      <c r="C267" s="6"/>
      <c r="D267" s="6"/>
      <c r="E267" s="6"/>
    </row>
    <row r="268" spans="3:5" ht="13" x14ac:dyDescent="0.6">
      <c r="C268" s="6"/>
      <c r="D268" s="6"/>
      <c r="E268" s="6"/>
    </row>
    <row r="269" spans="3:5" ht="13" x14ac:dyDescent="0.6">
      <c r="C269" s="6"/>
      <c r="D269" s="6"/>
      <c r="E269" s="6"/>
    </row>
    <row r="270" spans="3:5" ht="13" x14ac:dyDescent="0.6">
      <c r="C270" s="6"/>
      <c r="D270" s="6"/>
      <c r="E270" s="6"/>
    </row>
    <row r="271" spans="3:5" ht="13" x14ac:dyDescent="0.6">
      <c r="C271" s="6"/>
      <c r="D271" s="6"/>
      <c r="E271" s="6"/>
    </row>
    <row r="272" spans="3:5" ht="13" x14ac:dyDescent="0.6">
      <c r="C272" s="6"/>
      <c r="D272" s="6"/>
      <c r="E272" s="6"/>
    </row>
    <row r="273" spans="3:5" ht="13" x14ac:dyDescent="0.6">
      <c r="C273" s="6"/>
      <c r="D273" s="6"/>
      <c r="E273" s="6"/>
    </row>
    <row r="274" spans="3:5" ht="13" x14ac:dyDescent="0.6">
      <c r="C274" s="6"/>
      <c r="D274" s="6"/>
      <c r="E274" s="6"/>
    </row>
    <row r="275" spans="3:5" ht="13" x14ac:dyDescent="0.6">
      <c r="C275" s="6"/>
      <c r="D275" s="6"/>
      <c r="E275" s="6"/>
    </row>
    <row r="276" spans="3:5" ht="13" x14ac:dyDescent="0.6">
      <c r="C276" s="6"/>
      <c r="D276" s="6"/>
      <c r="E276" s="6"/>
    </row>
    <row r="277" spans="3:5" ht="13" x14ac:dyDescent="0.6">
      <c r="C277" s="6"/>
      <c r="D277" s="6"/>
      <c r="E277" s="6"/>
    </row>
    <row r="278" spans="3:5" ht="13" x14ac:dyDescent="0.6">
      <c r="C278" s="6"/>
      <c r="D278" s="6"/>
      <c r="E278" s="6"/>
    </row>
    <row r="279" spans="3:5" ht="13" x14ac:dyDescent="0.6">
      <c r="C279" s="6"/>
      <c r="D279" s="6"/>
      <c r="E279" s="6"/>
    </row>
    <row r="280" spans="3:5" ht="13" x14ac:dyDescent="0.6">
      <c r="C280" s="6"/>
      <c r="D280" s="6"/>
      <c r="E280" s="6"/>
    </row>
    <row r="281" spans="3:5" ht="13" x14ac:dyDescent="0.6">
      <c r="C281" s="6"/>
      <c r="D281" s="6"/>
      <c r="E281" s="6"/>
    </row>
    <row r="282" spans="3:5" ht="13" x14ac:dyDescent="0.6">
      <c r="C282" s="6"/>
      <c r="D282" s="6"/>
      <c r="E282" s="6"/>
    </row>
    <row r="283" spans="3:5" ht="13" x14ac:dyDescent="0.6">
      <c r="C283" s="6"/>
      <c r="D283" s="6"/>
      <c r="E283" s="6"/>
    </row>
    <row r="284" spans="3:5" ht="13" x14ac:dyDescent="0.6">
      <c r="C284" s="6"/>
      <c r="D284" s="6"/>
      <c r="E284" s="6"/>
    </row>
    <row r="285" spans="3:5" ht="13" x14ac:dyDescent="0.6">
      <c r="C285" s="6"/>
      <c r="D285" s="6"/>
      <c r="E285" s="6"/>
    </row>
    <row r="286" spans="3:5" ht="13" x14ac:dyDescent="0.6">
      <c r="C286" s="6"/>
      <c r="D286" s="6"/>
      <c r="E286" s="6"/>
    </row>
    <row r="287" spans="3:5" ht="13" x14ac:dyDescent="0.6">
      <c r="C287" s="6"/>
      <c r="D287" s="6"/>
      <c r="E287" s="6"/>
    </row>
    <row r="288" spans="3:5" ht="13" x14ac:dyDescent="0.6">
      <c r="C288" s="6"/>
      <c r="D288" s="6"/>
      <c r="E288" s="6"/>
    </row>
    <row r="289" spans="3:5" ht="13" x14ac:dyDescent="0.6">
      <c r="C289" s="6"/>
      <c r="D289" s="6"/>
      <c r="E289" s="6"/>
    </row>
    <row r="290" spans="3:5" ht="13" x14ac:dyDescent="0.6">
      <c r="C290" s="6"/>
      <c r="D290" s="6"/>
      <c r="E290" s="6"/>
    </row>
    <row r="291" spans="3:5" ht="13" x14ac:dyDescent="0.6">
      <c r="C291" s="6"/>
      <c r="D291" s="6"/>
      <c r="E291" s="6"/>
    </row>
    <row r="292" spans="3:5" ht="13" x14ac:dyDescent="0.6">
      <c r="C292" s="6"/>
      <c r="D292" s="6"/>
      <c r="E292" s="6"/>
    </row>
    <row r="293" spans="3:5" ht="13" x14ac:dyDescent="0.6">
      <c r="C293" s="6"/>
      <c r="D293" s="6"/>
      <c r="E293" s="6"/>
    </row>
    <row r="294" spans="3:5" ht="13" x14ac:dyDescent="0.6">
      <c r="C294" s="6"/>
      <c r="D294" s="6"/>
      <c r="E294" s="6"/>
    </row>
    <row r="295" spans="3:5" ht="13" x14ac:dyDescent="0.6">
      <c r="C295" s="6"/>
      <c r="D295" s="6"/>
      <c r="E295" s="6"/>
    </row>
    <row r="296" spans="3:5" ht="13" x14ac:dyDescent="0.6">
      <c r="C296" s="6"/>
      <c r="D296" s="6"/>
      <c r="E296" s="6"/>
    </row>
    <row r="297" spans="3:5" ht="13" x14ac:dyDescent="0.6">
      <c r="C297" s="6"/>
      <c r="D297" s="6"/>
      <c r="E297" s="6"/>
    </row>
    <row r="298" spans="3:5" ht="13" x14ac:dyDescent="0.6">
      <c r="C298" s="6"/>
      <c r="D298" s="6"/>
      <c r="E298" s="6"/>
    </row>
    <row r="299" spans="3:5" ht="13" x14ac:dyDescent="0.6">
      <c r="C299" s="6"/>
      <c r="D299" s="6"/>
      <c r="E299" s="6"/>
    </row>
    <row r="300" spans="3:5" ht="13" x14ac:dyDescent="0.6">
      <c r="C300" s="6"/>
      <c r="D300" s="6"/>
      <c r="E300" s="6"/>
    </row>
    <row r="301" spans="3:5" ht="13" x14ac:dyDescent="0.6">
      <c r="C301" s="6"/>
      <c r="D301" s="6"/>
      <c r="E301" s="6"/>
    </row>
    <row r="302" spans="3:5" ht="13" x14ac:dyDescent="0.6">
      <c r="C302" s="6"/>
      <c r="D302" s="6"/>
      <c r="E302" s="6"/>
    </row>
    <row r="303" spans="3:5" ht="13" x14ac:dyDescent="0.6">
      <c r="C303" s="6"/>
      <c r="D303" s="6"/>
      <c r="E303" s="6"/>
    </row>
    <row r="304" spans="3:5" ht="13" x14ac:dyDescent="0.6">
      <c r="C304" s="6"/>
      <c r="D304" s="6"/>
      <c r="E304" s="6"/>
    </row>
    <row r="305" spans="3:5" ht="13" x14ac:dyDescent="0.6">
      <c r="C305" s="6"/>
      <c r="D305" s="6"/>
      <c r="E305" s="6"/>
    </row>
    <row r="306" spans="3:5" ht="13" x14ac:dyDescent="0.6">
      <c r="C306" s="6"/>
      <c r="D306" s="6"/>
      <c r="E306" s="6"/>
    </row>
    <row r="307" spans="3:5" ht="13" x14ac:dyDescent="0.6">
      <c r="C307" s="6"/>
      <c r="D307" s="6"/>
      <c r="E307" s="6"/>
    </row>
    <row r="308" spans="3:5" ht="13" x14ac:dyDescent="0.6">
      <c r="C308" s="6"/>
      <c r="D308" s="6"/>
      <c r="E308" s="6"/>
    </row>
    <row r="309" spans="3:5" ht="13" x14ac:dyDescent="0.6">
      <c r="C309" s="6"/>
      <c r="D309" s="6"/>
      <c r="E309" s="6"/>
    </row>
    <row r="310" spans="3:5" ht="13" x14ac:dyDescent="0.6">
      <c r="C310" s="6"/>
      <c r="D310" s="6"/>
      <c r="E310" s="6"/>
    </row>
    <row r="311" spans="3:5" ht="13" x14ac:dyDescent="0.6">
      <c r="C311" s="6"/>
      <c r="D311" s="6"/>
      <c r="E311" s="6"/>
    </row>
    <row r="312" spans="3:5" ht="13" x14ac:dyDescent="0.6">
      <c r="C312" s="6"/>
      <c r="D312" s="6"/>
      <c r="E312" s="6"/>
    </row>
    <row r="313" spans="3:5" ht="13" x14ac:dyDescent="0.6">
      <c r="C313" s="6"/>
      <c r="D313" s="6"/>
      <c r="E313" s="6"/>
    </row>
    <row r="314" spans="3:5" ht="13" x14ac:dyDescent="0.6">
      <c r="C314" s="6"/>
      <c r="D314" s="6"/>
      <c r="E314" s="6"/>
    </row>
    <row r="315" spans="3:5" ht="13" x14ac:dyDescent="0.6">
      <c r="C315" s="6"/>
      <c r="D315" s="6"/>
      <c r="E315" s="6"/>
    </row>
    <row r="316" spans="3:5" ht="13" x14ac:dyDescent="0.6">
      <c r="C316" s="6"/>
      <c r="D316" s="6"/>
      <c r="E316" s="6"/>
    </row>
    <row r="317" spans="3:5" ht="13" x14ac:dyDescent="0.6">
      <c r="C317" s="6"/>
      <c r="D317" s="6"/>
      <c r="E317" s="6"/>
    </row>
    <row r="318" spans="3:5" ht="13" x14ac:dyDescent="0.6">
      <c r="C318" s="6"/>
      <c r="D318" s="6"/>
      <c r="E318" s="6"/>
    </row>
    <row r="319" spans="3:5" ht="13" x14ac:dyDescent="0.6">
      <c r="C319" s="6"/>
      <c r="D319" s="6"/>
      <c r="E319" s="6"/>
    </row>
    <row r="320" spans="3:5" ht="13" x14ac:dyDescent="0.6">
      <c r="C320" s="6"/>
      <c r="D320" s="6"/>
      <c r="E320" s="6"/>
    </row>
    <row r="321" spans="3:5" ht="13" x14ac:dyDescent="0.6">
      <c r="C321" s="6"/>
      <c r="D321" s="6"/>
      <c r="E321" s="6"/>
    </row>
    <row r="322" spans="3:5" ht="13" x14ac:dyDescent="0.6">
      <c r="C322" s="6"/>
      <c r="D322" s="6"/>
      <c r="E322" s="6"/>
    </row>
    <row r="323" spans="3:5" ht="13" x14ac:dyDescent="0.6">
      <c r="C323" s="6"/>
      <c r="D323" s="6"/>
      <c r="E323" s="6"/>
    </row>
    <row r="324" spans="3:5" ht="13" x14ac:dyDescent="0.6">
      <c r="C324" s="6"/>
      <c r="D324" s="6"/>
      <c r="E324" s="6"/>
    </row>
    <row r="325" spans="3:5" ht="13" x14ac:dyDescent="0.6">
      <c r="C325" s="6"/>
      <c r="D325" s="6"/>
      <c r="E325" s="6"/>
    </row>
    <row r="326" spans="3:5" ht="13" x14ac:dyDescent="0.6">
      <c r="C326" s="6"/>
      <c r="D326" s="6"/>
      <c r="E326" s="6"/>
    </row>
    <row r="327" spans="3:5" ht="13" x14ac:dyDescent="0.6">
      <c r="C327" s="6"/>
      <c r="D327" s="6"/>
      <c r="E327" s="6"/>
    </row>
    <row r="328" spans="3:5" ht="13" x14ac:dyDescent="0.6">
      <c r="C328" s="6"/>
      <c r="D328" s="6"/>
      <c r="E328" s="6"/>
    </row>
    <row r="329" spans="3:5" ht="13" x14ac:dyDescent="0.6">
      <c r="C329" s="6"/>
      <c r="D329" s="6"/>
      <c r="E329" s="6"/>
    </row>
    <row r="330" spans="3:5" ht="13" x14ac:dyDescent="0.6">
      <c r="C330" s="6"/>
      <c r="D330" s="6"/>
      <c r="E330" s="6"/>
    </row>
    <row r="331" spans="3:5" ht="13" x14ac:dyDescent="0.6">
      <c r="C331" s="6"/>
      <c r="D331" s="6"/>
      <c r="E331" s="6"/>
    </row>
    <row r="332" spans="3:5" ht="13" x14ac:dyDescent="0.6">
      <c r="C332" s="6"/>
      <c r="D332" s="6"/>
      <c r="E332" s="6"/>
    </row>
    <row r="333" spans="3:5" ht="13" x14ac:dyDescent="0.6">
      <c r="C333" s="6"/>
      <c r="D333" s="6"/>
      <c r="E333" s="6"/>
    </row>
    <row r="334" spans="3:5" ht="13" x14ac:dyDescent="0.6">
      <c r="C334" s="6"/>
      <c r="D334" s="6"/>
      <c r="E334" s="6"/>
    </row>
    <row r="335" spans="3:5" ht="13" x14ac:dyDescent="0.6">
      <c r="C335" s="6"/>
      <c r="D335" s="6"/>
      <c r="E335" s="6"/>
    </row>
    <row r="336" spans="3:5" ht="13" x14ac:dyDescent="0.6">
      <c r="C336" s="6"/>
      <c r="D336" s="6"/>
      <c r="E336" s="6"/>
    </row>
    <row r="337" spans="3:5" ht="13" x14ac:dyDescent="0.6">
      <c r="C337" s="6"/>
      <c r="D337" s="6"/>
      <c r="E337" s="6"/>
    </row>
    <row r="338" spans="3:5" ht="13" x14ac:dyDescent="0.6">
      <c r="C338" s="6"/>
      <c r="D338" s="6"/>
      <c r="E338" s="6"/>
    </row>
    <row r="339" spans="3:5" ht="13" x14ac:dyDescent="0.6">
      <c r="C339" s="6"/>
      <c r="D339" s="6"/>
      <c r="E339" s="6"/>
    </row>
    <row r="340" spans="3:5" ht="13" x14ac:dyDescent="0.6">
      <c r="C340" s="6"/>
      <c r="D340" s="6"/>
      <c r="E340" s="6"/>
    </row>
    <row r="341" spans="3:5" ht="13" x14ac:dyDescent="0.6">
      <c r="C341" s="6"/>
      <c r="D341" s="6"/>
      <c r="E341" s="6"/>
    </row>
    <row r="342" spans="3:5" ht="13" x14ac:dyDescent="0.6">
      <c r="C342" s="6"/>
      <c r="D342" s="6"/>
      <c r="E342" s="6"/>
    </row>
    <row r="343" spans="3:5" ht="13" x14ac:dyDescent="0.6">
      <c r="C343" s="6"/>
      <c r="D343" s="6"/>
      <c r="E343" s="6"/>
    </row>
    <row r="344" spans="3:5" ht="13" x14ac:dyDescent="0.6">
      <c r="C344" s="6"/>
      <c r="D344" s="6"/>
      <c r="E344" s="6"/>
    </row>
    <row r="345" spans="3:5" ht="13" x14ac:dyDescent="0.6">
      <c r="C345" s="6"/>
      <c r="D345" s="6"/>
      <c r="E345" s="6"/>
    </row>
    <row r="346" spans="3:5" ht="13" x14ac:dyDescent="0.6">
      <c r="C346" s="6"/>
      <c r="D346" s="6"/>
      <c r="E346" s="6"/>
    </row>
    <row r="347" spans="3:5" ht="13" x14ac:dyDescent="0.6">
      <c r="C347" s="6"/>
      <c r="D347" s="6"/>
      <c r="E347" s="6"/>
    </row>
    <row r="348" spans="3:5" ht="13" x14ac:dyDescent="0.6">
      <c r="C348" s="6"/>
      <c r="D348" s="6"/>
      <c r="E348" s="6"/>
    </row>
    <row r="349" spans="3:5" ht="13" x14ac:dyDescent="0.6">
      <c r="C349" s="6"/>
      <c r="D349" s="6"/>
      <c r="E349" s="6"/>
    </row>
    <row r="350" spans="3:5" ht="13" x14ac:dyDescent="0.6">
      <c r="C350" s="6"/>
      <c r="D350" s="6"/>
      <c r="E350" s="6"/>
    </row>
    <row r="351" spans="3:5" ht="13" x14ac:dyDescent="0.6">
      <c r="C351" s="6"/>
      <c r="D351" s="6"/>
      <c r="E351" s="6"/>
    </row>
    <row r="352" spans="3:5" ht="13" x14ac:dyDescent="0.6">
      <c r="C352" s="6"/>
      <c r="D352" s="6"/>
      <c r="E352" s="6"/>
    </row>
    <row r="353" spans="3:5" ht="13" x14ac:dyDescent="0.6">
      <c r="C353" s="6"/>
      <c r="D353" s="6"/>
      <c r="E353" s="6"/>
    </row>
    <row r="354" spans="3:5" ht="13" x14ac:dyDescent="0.6">
      <c r="C354" s="6"/>
      <c r="D354" s="6"/>
      <c r="E354" s="6"/>
    </row>
    <row r="355" spans="3:5" ht="13" x14ac:dyDescent="0.6">
      <c r="C355" s="6"/>
      <c r="D355" s="6"/>
      <c r="E355" s="6"/>
    </row>
    <row r="356" spans="3:5" ht="13" x14ac:dyDescent="0.6">
      <c r="C356" s="6"/>
      <c r="D356" s="6"/>
      <c r="E356" s="6"/>
    </row>
    <row r="357" spans="3:5" ht="13" x14ac:dyDescent="0.6">
      <c r="C357" s="6"/>
      <c r="D357" s="6"/>
      <c r="E357" s="6"/>
    </row>
    <row r="358" spans="3:5" ht="13" x14ac:dyDescent="0.6">
      <c r="C358" s="6"/>
      <c r="D358" s="6"/>
      <c r="E358" s="6"/>
    </row>
    <row r="359" spans="3:5" ht="13" x14ac:dyDescent="0.6">
      <c r="C359" s="6"/>
      <c r="D359" s="6"/>
      <c r="E359" s="6"/>
    </row>
    <row r="360" spans="3:5" ht="13" x14ac:dyDescent="0.6">
      <c r="C360" s="6"/>
      <c r="D360" s="6"/>
      <c r="E360" s="6"/>
    </row>
    <row r="361" spans="3:5" ht="13" x14ac:dyDescent="0.6">
      <c r="C361" s="6"/>
      <c r="D361" s="6"/>
      <c r="E361" s="6"/>
    </row>
    <row r="362" spans="3:5" ht="13" x14ac:dyDescent="0.6">
      <c r="C362" s="6"/>
      <c r="D362" s="6"/>
      <c r="E362" s="6"/>
    </row>
    <row r="363" spans="3:5" ht="13" x14ac:dyDescent="0.6">
      <c r="C363" s="6"/>
      <c r="D363" s="6"/>
      <c r="E363" s="6"/>
    </row>
    <row r="364" spans="3:5" ht="13" x14ac:dyDescent="0.6">
      <c r="C364" s="6"/>
      <c r="D364" s="6"/>
      <c r="E364" s="6"/>
    </row>
    <row r="365" spans="3:5" ht="13" x14ac:dyDescent="0.6">
      <c r="C365" s="6"/>
      <c r="D365" s="6"/>
      <c r="E365" s="6"/>
    </row>
    <row r="366" spans="3:5" ht="13" x14ac:dyDescent="0.6">
      <c r="C366" s="6"/>
      <c r="D366" s="6"/>
      <c r="E366" s="6"/>
    </row>
    <row r="367" spans="3:5" ht="13" x14ac:dyDescent="0.6">
      <c r="C367" s="6"/>
      <c r="D367" s="6"/>
      <c r="E367" s="6"/>
    </row>
    <row r="368" spans="3:5" ht="13" x14ac:dyDescent="0.6">
      <c r="C368" s="6"/>
      <c r="D368" s="6"/>
      <c r="E368" s="6"/>
    </row>
    <row r="369" spans="3:5" ht="13" x14ac:dyDescent="0.6">
      <c r="C369" s="6"/>
      <c r="D369" s="6"/>
      <c r="E369" s="6"/>
    </row>
    <row r="370" spans="3:5" ht="13" x14ac:dyDescent="0.6">
      <c r="C370" s="6"/>
      <c r="D370" s="6"/>
      <c r="E370" s="6"/>
    </row>
    <row r="371" spans="3:5" ht="13" x14ac:dyDescent="0.6">
      <c r="C371" s="6"/>
      <c r="D371" s="6"/>
      <c r="E371" s="6"/>
    </row>
    <row r="372" spans="3:5" ht="13" x14ac:dyDescent="0.6">
      <c r="C372" s="6"/>
      <c r="D372" s="6"/>
      <c r="E372" s="6"/>
    </row>
    <row r="373" spans="3:5" ht="13" x14ac:dyDescent="0.6">
      <c r="C373" s="6"/>
      <c r="D373" s="6"/>
      <c r="E373" s="6"/>
    </row>
    <row r="374" spans="3:5" ht="13" x14ac:dyDescent="0.6">
      <c r="C374" s="6"/>
      <c r="D374" s="6"/>
      <c r="E374" s="6"/>
    </row>
    <row r="375" spans="3:5" ht="13" x14ac:dyDescent="0.6">
      <c r="C375" s="6"/>
      <c r="D375" s="6"/>
      <c r="E375" s="6"/>
    </row>
    <row r="376" spans="3:5" ht="13" x14ac:dyDescent="0.6">
      <c r="C376" s="6"/>
      <c r="D376" s="6"/>
      <c r="E376" s="6"/>
    </row>
    <row r="377" spans="3:5" ht="13" x14ac:dyDescent="0.6">
      <c r="C377" s="6"/>
      <c r="D377" s="6"/>
      <c r="E377" s="6"/>
    </row>
    <row r="378" spans="3:5" ht="13" x14ac:dyDescent="0.6">
      <c r="C378" s="6"/>
      <c r="D378" s="6"/>
      <c r="E378" s="6"/>
    </row>
    <row r="379" spans="3:5" ht="13" x14ac:dyDescent="0.6">
      <c r="C379" s="6"/>
      <c r="D379" s="6"/>
      <c r="E379" s="6"/>
    </row>
    <row r="380" spans="3:5" ht="13" x14ac:dyDescent="0.6">
      <c r="C380" s="6"/>
      <c r="D380" s="6"/>
      <c r="E380" s="6"/>
    </row>
    <row r="381" spans="3:5" ht="13" x14ac:dyDescent="0.6">
      <c r="C381" s="6"/>
      <c r="D381" s="6"/>
      <c r="E381" s="6"/>
    </row>
    <row r="382" spans="3:5" ht="13" x14ac:dyDescent="0.6">
      <c r="C382" s="6"/>
      <c r="D382" s="6"/>
      <c r="E382" s="6"/>
    </row>
    <row r="383" spans="3:5" ht="13" x14ac:dyDescent="0.6">
      <c r="C383" s="6"/>
      <c r="D383" s="6"/>
      <c r="E383" s="6"/>
    </row>
    <row r="384" spans="3:5" ht="13" x14ac:dyDescent="0.6">
      <c r="C384" s="6"/>
      <c r="D384" s="6"/>
      <c r="E384" s="6"/>
    </row>
    <row r="385" spans="3:5" ht="13" x14ac:dyDescent="0.6">
      <c r="C385" s="6"/>
      <c r="D385" s="6"/>
      <c r="E385" s="6"/>
    </row>
    <row r="386" spans="3:5" ht="13" x14ac:dyDescent="0.6">
      <c r="C386" s="6"/>
      <c r="D386" s="6"/>
      <c r="E386" s="6"/>
    </row>
    <row r="387" spans="3:5" ht="13" x14ac:dyDescent="0.6">
      <c r="C387" s="6"/>
      <c r="D387" s="6"/>
      <c r="E387" s="6"/>
    </row>
    <row r="388" spans="3:5" ht="13" x14ac:dyDescent="0.6">
      <c r="C388" s="6"/>
      <c r="D388" s="6"/>
      <c r="E388" s="6"/>
    </row>
    <row r="389" spans="3:5" ht="13" x14ac:dyDescent="0.6">
      <c r="C389" s="6"/>
      <c r="D389" s="6"/>
      <c r="E389" s="6"/>
    </row>
    <row r="390" spans="3:5" ht="13" x14ac:dyDescent="0.6">
      <c r="C390" s="6"/>
      <c r="D390" s="6"/>
      <c r="E390" s="6"/>
    </row>
    <row r="391" spans="3:5" ht="13" x14ac:dyDescent="0.6">
      <c r="C391" s="6"/>
      <c r="D391" s="6"/>
      <c r="E391" s="6"/>
    </row>
    <row r="392" spans="3:5" ht="13" x14ac:dyDescent="0.6">
      <c r="C392" s="6"/>
      <c r="D392" s="6"/>
      <c r="E392" s="6"/>
    </row>
    <row r="393" spans="3:5" ht="13" x14ac:dyDescent="0.6">
      <c r="C393" s="6"/>
      <c r="D393" s="6"/>
      <c r="E393" s="6"/>
    </row>
    <row r="394" spans="3:5" ht="13" x14ac:dyDescent="0.6">
      <c r="C394" s="6"/>
      <c r="D394" s="6"/>
      <c r="E394" s="6"/>
    </row>
    <row r="395" spans="3:5" ht="13" x14ac:dyDescent="0.6">
      <c r="C395" s="6"/>
      <c r="D395" s="6"/>
      <c r="E395" s="6"/>
    </row>
    <row r="396" spans="3:5" ht="13" x14ac:dyDescent="0.6">
      <c r="C396" s="6"/>
      <c r="D396" s="6"/>
      <c r="E396" s="6"/>
    </row>
    <row r="397" spans="3:5" ht="13" x14ac:dyDescent="0.6">
      <c r="C397" s="6"/>
      <c r="D397" s="6"/>
      <c r="E397" s="6"/>
    </row>
    <row r="398" spans="3:5" ht="13" x14ac:dyDescent="0.6">
      <c r="C398" s="6"/>
      <c r="D398" s="6"/>
      <c r="E398" s="6"/>
    </row>
    <row r="399" spans="3:5" ht="13" x14ac:dyDescent="0.6">
      <c r="C399" s="6"/>
      <c r="D399" s="6"/>
      <c r="E399" s="6"/>
    </row>
    <row r="400" spans="3:5" ht="13" x14ac:dyDescent="0.6">
      <c r="C400" s="6"/>
      <c r="D400" s="6"/>
      <c r="E400" s="6"/>
    </row>
    <row r="401" spans="3:5" ht="13" x14ac:dyDescent="0.6">
      <c r="C401" s="6"/>
      <c r="D401" s="6"/>
      <c r="E401" s="6"/>
    </row>
    <row r="402" spans="3:5" ht="13" x14ac:dyDescent="0.6">
      <c r="C402" s="6"/>
      <c r="D402" s="6"/>
      <c r="E402" s="6"/>
    </row>
    <row r="403" spans="3:5" ht="13" x14ac:dyDescent="0.6">
      <c r="C403" s="6"/>
      <c r="D403" s="6"/>
      <c r="E403" s="6"/>
    </row>
    <row r="404" spans="3:5" ht="13" x14ac:dyDescent="0.6">
      <c r="C404" s="6"/>
      <c r="D404" s="6"/>
      <c r="E404" s="6"/>
    </row>
    <row r="405" spans="3:5" ht="13" x14ac:dyDescent="0.6">
      <c r="C405" s="6"/>
      <c r="D405" s="6"/>
      <c r="E405" s="6"/>
    </row>
    <row r="406" spans="3:5" ht="13" x14ac:dyDescent="0.6">
      <c r="C406" s="6"/>
      <c r="D406" s="6"/>
      <c r="E406" s="6"/>
    </row>
    <row r="407" spans="3:5" ht="13" x14ac:dyDescent="0.6">
      <c r="C407" s="6"/>
      <c r="D407" s="6"/>
      <c r="E407" s="6"/>
    </row>
    <row r="408" spans="3:5" ht="13" x14ac:dyDescent="0.6">
      <c r="C408" s="6"/>
      <c r="D408" s="6"/>
      <c r="E408" s="6"/>
    </row>
    <row r="409" spans="3:5" ht="13" x14ac:dyDescent="0.6">
      <c r="C409" s="6"/>
      <c r="D409" s="6"/>
      <c r="E409" s="6"/>
    </row>
    <row r="410" spans="3:5" ht="13" x14ac:dyDescent="0.6">
      <c r="C410" s="6"/>
      <c r="D410" s="6"/>
      <c r="E410" s="6"/>
    </row>
    <row r="411" spans="3:5" ht="13" x14ac:dyDescent="0.6">
      <c r="C411" s="6"/>
      <c r="D411" s="6"/>
      <c r="E411" s="6"/>
    </row>
    <row r="412" spans="3:5" ht="13" x14ac:dyDescent="0.6">
      <c r="C412" s="6"/>
      <c r="D412" s="6"/>
      <c r="E412" s="6"/>
    </row>
    <row r="413" spans="3:5" ht="13" x14ac:dyDescent="0.6">
      <c r="C413" s="6"/>
      <c r="D413" s="6"/>
      <c r="E413" s="6"/>
    </row>
    <row r="414" spans="3:5" ht="13" x14ac:dyDescent="0.6">
      <c r="C414" s="6"/>
      <c r="D414" s="6"/>
      <c r="E414" s="6"/>
    </row>
    <row r="415" spans="3:5" ht="13" x14ac:dyDescent="0.6">
      <c r="C415" s="6"/>
      <c r="D415" s="6"/>
      <c r="E415" s="6"/>
    </row>
    <row r="416" spans="3:5" ht="13" x14ac:dyDescent="0.6">
      <c r="C416" s="6"/>
      <c r="D416" s="6"/>
      <c r="E416" s="6"/>
    </row>
    <row r="417" spans="3:5" ht="13" x14ac:dyDescent="0.6">
      <c r="C417" s="6"/>
      <c r="D417" s="6"/>
      <c r="E417" s="6"/>
    </row>
    <row r="418" spans="3:5" ht="13" x14ac:dyDescent="0.6">
      <c r="C418" s="6"/>
      <c r="D418" s="6"/>
      <c r="E418" s="6"/>
    </row>
    <row r="419" spans="3:5" ht="13" x14ac:dyDescent="0.6">
      <c r="C419" s="6"/>
      <c r="D419" s="6"/>
      <c r="E419" s="6"/>
    </row>
    <row r="420" spans="3:5" ht="13" x14ac:dyDescent="0.6">
      <c r="C420" s="6"/>
      <c r="D420" s="6"/>
      <c r="E420" s="6"/>
    </row>
    <row r="421" spans="3:5" ht="13" x14ac:dyDescent="0.6">
      <c r="C421" s="6"/>
      <c r="D421" s="6"/>
      <c r="E421" s="6"/>
    </row>
    <row r="422" spans="3:5" ht="13" x14ac:dyDescent="0.6">
      <c r="C422" s="6"/>
      <c r="D422" s="6"/>
      <c r="E422" s="6"/>
    </row>
    <row r="423" spans="3:5" ht="13" x14ac:dyDescent="0.6">
      <c r="C423" s="6"/>
      <c r="D423" s="6"/>
      <c r="E423" s="6"/>
    </row>
    <row r="424" spans="3:5" ht="13" x14ac:dyDescent="0.6">
      <c r="C424" s="6"/>
      <c r="D424" s="6"/>
      <c r="E424" s="6"/>
    </row>
    <row r="425" spans="3:5" ht="13" x14ac:dyDescent="0.6">
      <c r="C425" s="6"/>
      <c r="D425" s="6"/>
      <c r="E425" s="6"/>
    </row>
    <row r="426" spans="3:5" ht="13" x14ac:dyDescent="0.6">
      <c r="C426" s="6"/>
      <c r="D426" s="6"/>
      <c r="E426" s="6"/>
    </row>
    <row r="427" spans="3:5" ht="13" x14ac:dyDescent="0.6">
      <c r="C427" s="6"/>
      <c r="D427" s="6"/>
      <c r="E427" s="6"/>
    </row>
    <row r="428" spans="3:5" ht="13" x14ac:dyDescent="0.6">
      <c r="C428" s="6"/>
      <c r="D428" s="6"/>
      <c r="E428" s="6"/>
    </row>
    <row r="429" spans="3:5" ht="13" x14ac:dyDescent="0.6">
      <c r="C429" s="6"/>
      <c r="D429" s="6"/>
      <c r="E429" s="6"/>
    </row>
    <row r="430" spans="3:5" ht="13" x14ac:dyDescent="0.6">
      <c r="C430" s="6"/>
      <c r="D430" s="6"/>
      <c r="E430" s="6"/>
    </row>
    <row r="431" spans="3:5" ht="13" x14ac:dyDescent="0.6">
      <c r="C431" s="6"/>
      <c r="D431" s="6"/>
      <c r="E431" s="6"/>
    </row>
    <row r="432" spans="3:5" ht="13" x14ac:dyDescent="0.6">
      <c r="C432" s="6"/>
      <c r="D432" s="6"/>
      <c r="E432" s="6"/>
    </row>
    <row r="433" spans="3:5" ht="13" x14ac:dyDescent="0.6">
      <c r="C433" s="6"/>
      <c r="D433" s="6"/>
      <c r="E433" s="6"/>
    </row>
    <row r="434" spans="3:5" ht="13" x14ac:dyDescent="0.6">
      <c r="C434" s="6"/>
      <c r="D434" s="6"/>
      <c r="E434" s="6"/>
    </row>
    <row r="435" spans="3:5" ht="13" x14ac:dyDescent="0.6">
      <c r="C435" s="6"/>
      <c r="D435" s="6"/>
      <c r="E435" s="6"/>
    </row>
    <row r="436" spans="3:5" ht="13" x14ac:dyDescent="0.6">
      <c r="C436" s="6"/>
      <c r="D436" s="6"/>
      <c r="E436" s="6"/>
    </row>
    <row r="437" spans="3:5" ht="13" x14ac:dyDescent="0.6">
      <c r="C437" s="6"/>
      <c r="D437" s="6"/>
      <c r="E437" s="6"/>
    </row>
    <row r="438" spans="3:5" ht="13" x14ac:dyDescent="0.6">
      <c r="C438" s="6"/>
      <c r="D438" s="6"/>
      <c r="E438" s="6"/>
    </row>
    <row r="439" spans="3:5" ht="13" x14ac:dyDescent="0.6">
      <c r="C439" s="6"/>
      <c r="D439" s="6"/>
      <c r="E439" s="6"/>
    </row>
    <row r="440" spans="3:5" ht="13" x14ac:dyDescent="0.6">
      <c r="C440" s="6"/>
      <c r="D440" s="6"/>
      <c r="E440" s="6"/>
    </row>
    <row r="441" spans="3:5" ht="13" x14ac:dyDescent="0.6">
      <c r="C441" s="6"/>
      <c r="D441" s="6"/>
      <c r="E441" s="6"/>
    </row>
    <row r="442" spans="3:5" ht="13" x14ac:dyDescent="0.6">
      <c r="C442" s="6"/>
      <c r="D442" s="6"/>
      <c r="E442" s="6"/>
    </row>
    <row r="443" spans="3:5" ht="13" x14ac:dyDescent="0.6">
      <c r="C443" s="6"/>
      <c r="D443" s="6"/>
      <c r="E443" s="6"/>
    </row>
    <row r="444" spans="3:5" ht="13" x14ac:dyDescent="0.6">
      <c r="C444" s="6"/>
      <c r="D444" s="6"/>
      <c r="E444" s="6"/>
    </row>
    <row r="445" spans="3:5" ht="13" x14ac:dyDescent="0.6">
      <c r="C445" s="6"/>
      <c r="D445" s="6"/>
      <c r="E445" s="6"/>
    </row>
    <row r="446" spans="3:5" ht="13" x14ac:dyDescent="0.6">
      <c r="C446" s="6"/>
      <c r="D446" s="6"/>
      <c r="E446" s="6"/>
    </row>
    <row r="447" spans="3:5" ht="13" x14ac:dyDescent="0.6">
      <c r="C447" s="6"/>
      <c r="D447" s="6"/>
      <c r="E447" s="6"/>
    </row>
    <row r="448" spans="3:5" ht="13" x14ac:dyDescent="0.6">
      <c r="C448" s="6"/>
      <c r="D448" s="6"/>
      <c r="E448" s="6"/>
    </row>
    <row r="449" spans="3:5" ht="13" x14ac:dyDescent="0.6">
      <c r="C449" s="6"/>
      <c r="D449" s="6"/>
      <c r="E449" s="6"/>
    </row>
    <row r="450" spans="3:5" ht="13" x14ac:dyDescent="0.6">
      <c r="C450" s="6"/>
      <c r="D450" s="6"/>
      <c r="E450" s="6"/>
    </row>
    <row r="451" spans="3:5" ht="13" x14ac:dyDescent="0.6">
      <c r="C451" s="6"/>
      <c r="D451" s="6"/>
      <c r="E451" s="6"/>
    </row>
    <row r="452" spans="3:5" ht="13" x14ac:dyDescent="0.6">
      <c r="C452" s="6"/>
      <c r="D452" s="6"/>
      <c r="E452" s="6"/>
    </row>
    <row r="453" spans="3:5" ht="13" x14ac:dyDescent="0.6">
      <c r="C453" s="6"/>
      <c r="D453" s="6"/>
      <c r="E453" s="6"/>
    </row>
    <row r="454" spans="3:5" ht="13" x14ac:dyDescent="0.6">
      <c r="C454" s="6"/>
      <c r="D454" s="6"/>
      <c r="E454" s="6"/>
    </row>
    <row r="455" spans="3:5" ht="13" x14ac:dyDescent="0.6">
      <c r="C455" s="6"/>
      <c r="D455" s="6"/>
      <c r="E455" s="6"/>
    </row>
    <row r="456" spans="3:5" ht="13" x14ac:dyDescent="0.6">
      <c r="C456" s="6"/>
      <c r="D456" s="6"/>
      <c r="E456" s="6"/>
    </row>
    <row r="457" spans="3:5" ht="13" x14ac:dyDescent="0.6">
      <c r="C457" s="6"/>
      <c r="D457" s="6"/>
      <c r="E457" s="6"/>
    </row>
    <row r="458" spans="3:5" ht="13" x14ac:dyDescent="0.6">
      <c r="C458" s="6"/>
      <c r="D458" s="6"/>
      <c r="E458" s="6"/>
    </row>
    <row r="459" spans="3:5" ht="13" x14ac:dyDescent="0.6">
      <c r="C459" s="6"/>
      <c r="D459" s="6"/>
      <c r="E459" s="6"/>
    </row>
    <row r="460" spans="3:5" ht="13" x14ac:dyDescent="0.6">
      <c r="C460" s="6"/>
      <c r="D460" s="6"/>
      <c r="E460" s="6"/>
    </row>
    <row r="461" spans="3:5" ht="13" x14ac:dyDescent="0.6">
      <c r="C461" s="6"/>
      <c r="D461" s="6"/>
      <c r="E461" s="6"/>
    </row>
    <row r="462" spans="3:5" ht="13" x14ac:dyDescent="0.6">
      <c r="C462" s="6"/>
      <c r="D462" s="6"/>
      <c r="E462" s="6"/>
    </row>
    <row r="463" spans="3:5" ht="13" x14ac:dyDescent="0.6">
      <c r="C463" s="6"/>
      <c r="D463" s="6"/>
      <c r="E463" s="6"/>
    </row>
    <row r="464" spans="3:5" ht="13" x14ac:dyDescent="0.6">
      <c r="C464" s="6"/>
      <c r="D464" s="6"/>
      <c r="E464" s="6"/>
    </row>
    <row r="465" spans="3:5" ht="13" x14ac:dyDescent="0.6">
      <c r="C465" s="6"/>
      <c r="D465" s="6"/>
      <c r="E465" s="6"/>
    </row>
    <row r="466" spans="3:5" ht="13" x14ac:dyDescent="0.6">
      <c r="C466" s="6"/>
      <c r="D466" s="6"/>
      <c r="E466" s="6"/>
    </row>
    <row r="467" spans="3:5" ht="13" x14ac:dyDescent="0.6">
      <c r="C467" s="6"/>
      <c r="D467" s="6"/>
      <c r="E467" s="6"/>
    </row>
    <row r="468" spans="3:5" ht="13" x14ac:dyDescent="0.6">
      <c r="C468" s="6"/>
      <c r="D468" s="6"/>
      <c r="E468" s="6"/>
    </row>
    <row r="469" spans="3:5" ht="13" x14ac:dyDescent="0.6">
      <c r="C469" s="6"/>
      <c r="D469" s="6"/>
      <c r="E469" s="6"/>
    </row>
    <row r="470" spans="3:5" ht="13" x14ac:dyDescent="0.6">
      <c r="C470" s="6"/>
      <c r="D470" s="6"/>
      <c r="E470" s="6"/>
    </row>
    <row r="471" spans="3:5" ht="13" x14ac:dyDescent="0.6">
      <c r="C471" s="6"/>
      <c r="D471" s="6"/>
      <c r="E471" s="6"/>
    </row>
    <row r="472" spans="3:5" ht="13" x14ac:dyDescent="0.6">
      <c r="C472" s="6"/>
      <c r="D472" s="6"/>
      <c r="E472" s="6"/>
    </row>
    <row r="473" spans="3:5" ht="13" x14ac:dyDescent="0.6">
      <c r="C473" s="6"/>
      <c r="D473" s="6"/>
      <c r="E473" s="6"/>
    </row>
    <row r="474" spans="3:5" ht="13" x14ac:dyDescent="0.6">
      <c r="C474" s="6"/>
      <c r="D474" s="6"/>
      <c r="E474" s="6"/>
    </row>
    <row r="475" spans="3:5" ht="13" x14ac:dyDescent="0.6">
      <c r="C475" s="6"/>
      <c r="D475" s="6"/>
      <c r="E475" s="6"/>
    </row>
    <row r="476" spans="3:5" ht="13" x14ac:dyDescent="0.6">
      <c r="C476" s="6"/>
      <c r="D476" s="6"/>
      <c r="E476" s="6"/>
    </row>
    <row r="477" spans="3:5" ht="13" x14ac:dyDescent="0.6">
      <c r="C477" s="6"/>
      <c r="D477" s="6"/>
      <c r="E477" s="6"/>
    </row>
    <row r="478" spans="3:5" ht="13" x14ac:dyDescent="0.6">
      <c r="C478" s="6"/>
      <c r="D478" s="6"/>
      <c r="E478" s="6"/>
    </row>
    <row r="479" spans="3:5" ht="13" x14ac:dyDescent="0.6">
      <c r="C479" s="6"/>
      <c r="D479" s="6"/>
      <c r="E479" s="6"/>
    </row>
    <row r="480" spans="3:5" ht="13" x14ac:dyDescent="0.6">
      <c r="C480" s="6"/>
      <c r="D480" s="6"/>
      <c r="E480" s="6"/>
    </row>
    <row r="481" spans="3:5" ht="13" x14ac:dyDescent="0.6">
      <c r="C481" s="6"/>
      <c r="D481" s="6"/>
      <c r="E481" s="6"/>
    </row>
    <row r="482" spans="3:5" ht="13" x14ac:dyDescent="0.6">
      <c r="C482" s="6"/>
      <c r="D482" s="6"/>
      <c r="E482" s="6"/>
    </row>
    <row r="483" spans="3:5" ht="13" x14ac:dyDescent="0.6">
      <c r="C483" s="6"/>
      <c r="D483" s="6"/>
      <c r="E483" s="6"/>
    </row>
    <row r="484" spans="3:5" ht="13" x14ac:dyDescent="0.6">
      <c r="C484" s="6"/>
      <c r="D484" s="6"/>
      <c r="E484" s="6"/>
    </row>
    <row r="485" spans="3:5" ht="13" x14ac:dyDescent="0.6">
      <c r="C485" s="6"/>
      <c r="D485" s="6"/>
      <c r="E485" s="6"/>
    </row>
    <row r="486" spans="3:5" ht="13" x14ac:dyDescent="0.6">
      <c r="C486" s="6"/>
      <c r="D486" s="6"/>
      <c r="E486" s="6"/>
    </row>
    <row r="487" spans="3:5" ht="13" x14ac:dyDescent="0.6">
      <c r="C487" s="6"/>
      <c r="D487" s="6"/>
      <c r="E487" s="6"/>
    </row>
    <row r="488" spans="3:5" ht="13" x14ac:dyDescent="0.6">
      <c r="C488" s="6"/>
      <c r="D488" s="6"/>
      <c r="E488" s="6"/>
    </row>
    <row r="489" spans="3:5" ht="13" x14ac:dyDescent="0.6">
      <c r="C489" s="6"/>
      <c r="D489" s="6"/>
      <c r="E489" s="6"/>
    </row>
    <row r="490" spans="3:5" ht="13" x14ac:dyDescent="0.6">
      <c r="C490" s="6"/>
      <c r="D490" s="6"/>
      <c r="E490" s="6"/>
    </row>
    <row r="491" spans="3:5" ht="13" x14ac:dyDescent="0.6">
      <c r="C491" s="6"/>
      <c r="D491" s="6"/>
      <c r="E491" s="6"/>
    </row>
    <row r="492" spans="3:5" ht="13" x14ac:dyDescent="0.6">
      <c r="C492" s="6"/>
      <c r="D492" s="6"/>
      <c r="E492" s="6"/>
    </row>
    <row r="493" spans="3:5" ht="13" x14ac:dyDescent="0.6">
      <c r="C493" s="6"/>
      <c r="D493" s="6"/>
      <c r="E493" s="6"/>
    </row>
    <row r="494" spans="3:5" ht="13" x14ac:dyDescent="0.6">
      <c r="C494" s="6"/>
      <c r="D494" s="6"/>
      <c r="E494" s="6"/>
    </row>
    <row r="495" spans="3:5" ht="13" x14ac:dyDescent="0.6">
      <c r="C495" s="6"/>
      <c r="D495" s="6"/>
      <c r="E495" s="6"/>
    </row>
    <row r="496" spans="3:5" ht="13" x14ac:dyDescent="0.6">
      <c r="C496" s="6"/>
      <c r="D496" s="6"/>
      <c r="E496" s="6"/>
    </row>
    <row r="497" spans="3:5" ht="13" x14ac:dyDescent="0.6">
      <c r="C497" s="6"/>
      <c r="D497" s="6"/>
      <c r="E497" s="6"/>
    </row>
    <row r="498" spans="3:5" ht="13" x14ac:dyDescent="0.6">
      <c r="C498" s="6"/>
      <c r="D498" s="6"/>
      <c r="E498" s="6"/>
    </row>
    <row r="499" spans="3:5" ht="13" x14ac:dyDescent="0.6">
      <c r="C499" s="6"/>
      <c r="D499" s="6"/>
      <c r="E499" s="6"/>
    </row>
    <row r="500" spans="3:5" ht="13" x14ac:dyDescent="0.6">
      <c r="C500" s="6"/>
      <c r="D500" s="6"/>
      <c r="E500" s="6"/>
    </row>
    <row r="501" spans="3:5" ht="13" x14ac:dyDescent="0.6">
      <c r="C501" s="6"/>
      <c r="D501" s="6"/>
      <c r="E501" s="6"/>
    </row>
    <row r="502" spans="3:5" ht="13" x14ac:dyDescent="0.6">
      <c r="C502" s="6"/>
      <c r="D502" s="6"/>
      <c r="E502" s="6"/>
    </row>
    <row r="503" spans="3:5" ht="13" x14ac:dyDescent="0.6">
      <c r="C503" s="6"/>
      <c r="D503" s="6"/>
      <c r="E503" s="6"/>
    </row>
    <row r="504" spans="3:5" ht="13" x14ac:dyDescent="0.6">
      <c r="C504" s="6"/>
      <c r="D504" s="6"/>
      <c r="E504" s="6"/>
    </row>
    <row r="505" spans="3:5" ht="13" x14ac:dyDescent="0.6">
      <c r="C505" s="6"/>
      <c r="D505" s="6"/>
      <c r="E505" s="6"/>
    </row>
    <row r="506" spans="3:5" ht="13" x14ac:dyDescent="0.6">
      <c r="C506" s="6"/>
      <c r="D506" s="6"/>
      <c r="E506" s="6"/>
    </row>
    <row r="507" spans="3:5" ht="13" x14ac:dyDescent="0.6">
      <c r="C507" s="6"/>
      <c r="D507" s="6"/>
      <c r="E507" s="6"/>
    </row>
    <row r="508" spans="3:5" ht="13" x14ac:dyDescent="0.6">
      <c r="C508" s="6"/>
      <c r="D508" s="6"/>
      <c r="E508" s="6"/>
    </row>
    <row r="509" spans="3:5" ht="13" x14ac:dyDescent="0.6">
      <c r="C509" s="6"/>
      <c r="D509" s="6"/>
      <c r="E509" s="6"/>
    </row>
    <row r="510" spans="3:5" ht="13" x14ac:dyDescent="0.6">
      <c r="C510" s="6"/>
      <c r="D510" s="6"/>
      <c r="E510" s="6"/>
    </row>
    <row r="511" spans="3:5" ht="13" x14ac:dyDescent="0.6">
      <c r="C511" s="6"/>
      <c r="D511" s="6"/>
      <c r="E511" s="6"/>
    </row>
    <row r="512" spans="3:5" ht="13" x14ac:dyDescent="0.6">
      <c r="C512" s="6"/>
      <c r="D512" s="6"/>
      <c r="E512" s="6"/>
    </row>
    <row r="513" spans="3:5" ht="13" x14ac:dyDescent="0.6">
      <c r="C513" s="6"/>
      <c r="D513" s="6"/>
      <c r="E513" s="6"/>
    </row>
    <row r="514" spans="3:5" ht="13" x14ac:dyDescent="0.6">
      <c r="C514" s="6"/>
      <c r="D514" s="6"/>
      <c r="E514" s="6"/>
    </row>
    <row r="515" spans="3:5" ht="13" x14ac:dyDescent="0.6">
      <c r="C515" s="6"/>
      <c r="D515" s="6"/>
      <c r="E515" s="6"/>
    </row>
    <row r="516" spans="3:5" ht="13" x14ac:dyDescent="0.6">
      <c r="C516" s="6"/>
      <c r="D516" s="6"/>
      <c r="E516" s="6"/>
    </row>
    <row r="517" spans="3:5" ht="13" x14ac:dyDescent="0.6">
      <c r="C517" s="6"/>
      <c r="D517" s="6"/>
      <c r="E517" s="6"/>
    </row>
    <row r="518" spans="3:5" ht="13" x14ac:dyDescent="0.6">
      <c r="C518" s="6"/>
      <c r="D518" s="6"/>
      <c r="E518" s="6"/>
    </row>
    <row r="519" spans="3:5" ht="13" x14ac:dyDescent="0.6">
      <c r="C519" s="6"/>
      <c r="D519" s="6"/>
      <c r="E519" s="6"/>
    </row>
    <row r="520" spans="3:5" ht="13" x14ac:dyDescent="0.6">
      <c r="C520" s="6"/>
      <c r="D520" s="6"/>
      <c r="E520" s="6"/>
    </row>
    <row r="521" spans="3:5" ht="13" x14ac:dyDescent="0.6">
      <c r="C521" s="6"/>
      <c r="D521" s="6"/>
      <c r="E521" s="6"/>
    </row>
    <row r="522" spans="3:5" ht="13" x14ac:dyDescent="0.6">
      <c r="C522" s="6"/>
      <c r="D522" s="6"/>
      <c r="E522" s="6"/>
    </row>
    <row r="523" spans="3:5" ht="13" x14ac:dyDescent="0.6">
      <c r="C523" s="6"/>
      <c r="D523" s="6"/>
      <c r="E523" s="6"/>
    </row>
    <row r="524" spans="3:5" ht="13" x14ac:dyDescent="0.6">
      <c r="C524" s="6"/>
      <c r="D524" s="6"/>
      <c r="E524" s="6"/>
    </row>
    <row r="525" spans="3:5" ht="13" x14ac:dyDescent="0.6">
      <c r="C525" s="6"/>
      <c r="D525" s="6"/>
      <c r="E525" s="6"/>
    </row>
    <row r="526" spans="3:5" ht="13" x14ac:dyDescent="0.6">
      <c r="C526" s="6"/>
      <c r="D526" s="6"/>
      <c r="E526" s="6"/>
    </row>
    <row r="527" spans="3:5" ht="13" x14ac:dyDescent="0.6">
      <c r="C527" s="6"/>
      <c r="D527" s="6"/>
      <c r="E527" s="6"/>
    </row>
    <row r="528" spans="3:5" ht="13" x14ac:dyDescent="0.6">
      <c r="C528" s="6"/>
      <c r="D528" s="6"/>
      <c r="E528" s="6"/>
    </row>
    <row r="529" spans="3:5" ht="13" x14ac:dyDescent="0.6">
      <c r="C529" s="6"/>
      <c r="D529" s="6"/>
      <c r="E529" s="6"/>
    </row>
    <row r="530" spans="3:5" ht="13" x14ac:dyDescent="0.6">
      <c r="C530" s="6"/>
      <c r="D530" s="6"/>
      <c r="E530" s="6"/>
    </row>
    <row r="531" spans="3:5" ht="13" x14ac:dyDescent="0.6">
      <c r="C531" s="6"/>
      <c r="D531" s="6"/>
      <c r="E531" s="6"/>
    </row>
    <row r="532" spans="3:5" ht="13" x14ac:dyDescent="0.6">
      <c r="C532" s="6"/>
      <c r="D532" s="6"/>
      <c r="E532" s="6"/>
    </row>
    <row r="533" spans="3:5" ht="13" x14ac:dyDescent="0.6">
      <c r="C533" s="6"/>
      <c r="D533" s="6"/>
      <c r="E533" s="6"/>
    </row>
    <row r="534" spans="3:5" ht="13" x14ac:dyDescent="0.6">
      <c r="C534" s="6"/>
      <c r="D534" s="6"/>
      <c r="E534" s="6"/>
    </row>
    <row r="535" spans="3:5" ht="13" x14ac:dyDescent="0.6">
      <c r="C535" s="6"/>
      <c r="D535" s="6"/>
      <c r="E535" s="6"/>
    </row>
    <row r="536" spans="3:5" ht="13" x14ac:dyDescent="0.6">
      <c r="C536" s="6"/>
      <c r="D536" s="6"/>
      <c r="E536" s="6"/>
    </row>
    <row r="537" spans="3:5" ht="13" x14ac:dyDescent="0.6">
      <c r="C537" s="6"/>
      <c r="D537" s="6"/>
      <c r="E537" s="6"/>
    </row>
    <row r="538" spans="3:5" ht="13" x14ac:dyDescent="0.6">
      <c r="C538" s="6"/>
      <c r="D538" s="6"/>
      <c r="E538" s="6"/>
    </row>
    <row r="539" spans="3:5" ht="13" x14ac:dyDescent="0.6">
      <c r="C539" s="6"/>
      <c r="D539" s="6"/>
      <c r="E539" s="6"/>
    </row>
    <row r="540" spans="3:5" ht="13" x14ac:dyDescent="0.6">
      <c r="C540" s="6"/>
      <c r="D540" s="6"/>
      <c r="E540" s="6"/>
    </row>
    <row r="541" spans="3:5" ht="13" x14ac:dyDescent="0.6">
      <c r="C541" s="6"/>
      <c r="D541" s="6"/>
      <c r="E541" s="6"/>
    </row>
    <row r="542" spans="3:5" ht="13" x14ac:dyDescent="0.6">
      <c r="C542" s="6"/>
      <c r="D542" s="6"/>
      <c r="E542" s="6"/>
    </row>
    <row r="543" spans="3:5" ht="13" x14ac:dyDescent="0.6">
      <c r="C543" s="6"/>
      <c r="D543" s="6"/>
      <c r="E543" s="6"/>
    </row>
    <row r="544" spans="3:5" ht="13" x14ac:dyDescent="0.6">
      <c r="C544" s="6"/>
      <c r="D544" s="6"/>
      <c r="E544" s="6"/>
    </row>
    <row r="545" spans="3:5" ht="13" x14ac:dyDescent="0.6">
      <c r="C545" s="6"/>
      <c r="D545" s="6"/>
      <c r="E545" s="6"/>
    </row>
    <row r="546" spans="3:5" ht="13" x14ac:dyDescent="0.6">
      <c r="C546" s="6"/>
      <c r="D546" s="6"/>
      <c r="E546" s="6"/>
    </row>
    <row r="547" spans="3:5" ht="13" x14ac:dyDescent="0.6">
      <c r="C547" s="6"/>
      <c r="D547" s="6"/>
      <c r="E547" s="6"/>
    </row>
    <row r="548" spans="3:5" ht="13" x14ac:dyDescent="0.6">
      <c r="C548" s="6"/>
      <c r="D548" s="6"/>
      <c r="E548" s="6"/>
    </row>
    <row r="549" spans="3:5" ht="13" x14ac:dyDescent="0.6">
      <c r="C549" s="6"/>
      <c r="D549" s="6"/>
      <c r="E549" s="6"/>
    </row>
    <row r="550" spans="3:5" ht="13" x14ac:dyDescent="0.6">
      <c r="C550" s="6"/>
      <c r="D550" s="6"/>
      <c r="E550" s="6"/>
    </row>
    <row r="551" spans="3:5" ht="13" x14ac:dyDescent="0.6">
      <c r="C551" s="6"/>
      <c r="D551" s="6"/>
      <c r="E551" s="6"/>
    </row>
    <row r="552" spans="3:5" ht="13" x14ac:dyDescent="0.6">
      <c r="C552" s="6"/>
      <c r="D552" s="6"/>
      <c r="E552" s="6"/>
    </row>
    <row r="553" spans="3:5" ht="13" x14ac:dyDescent="0.6">
      <c r="C553" s="6"/>
      <c r="D553" s="6"/>
      <c r="E553" s="6"/>
    </row>
    <row r="554" spans="3:5" ht="13" x14ac:dyDescent="0.6">
      <c r="C554" s="6"/>
      <c r="D554" s="6"/>
      <c r="E554" s="6"/>
    </row>
    <row r="555" spans="3:5" ht="13" x14ac:dyDescent="0.6">
      <c r="C555" s="6"/>
      <c r="D555" s="6"/>
      <c r="E555" s="6"/>
    </row>
    <row r="556" spans="3:5" ht="13" x14ac:dyDescent="0.6">
      <c r="C556" s="6"/>
      <c r="D556" s="6"/>
      <c r="E556" s="6"/>
    </row>
    <row r="557" spans="3:5" ht="13" x14ac:dyDescent="0.6">
      <c r="C557" s="6"/>
      <c r="D557" s="6"/>
      <c r="E557" s="6"/>
    </row>
    <row r="558" spans="3:5" ht="13" x14ac:dyDescent="0.6">
      <c r="C558" s="6"/>
      <c r="D558" s="6"/>
      <c r="E558" s="6"/>
    </row>
    <row r="559" spans="3:5" ht="13" x14ac:dyDescent="0.6">
      <c r="C559" s="6"/>
      <c r="D559" s="6"/>
      <c r="E559" s="6"/>
    </row>
    <row r="560" spans="3:5" ht="13" x14ac:dyDescent="0.6">
      <c r="C560" s="6"/>
      <c r="D560" s="6"/>
      <c r="E560" s="6"/>
    </row>
    <row r="561" spans="3:5" ht="13" x14ac:dyDescent="0.6">
      <c r="C561" s="6"/>
      <c r="D561" s="6"/>
      <c r="E561" s="6"/>
    </row>
    <row r="562" spans="3:5" ht="13" x14ac:dyDescent="0.6">
      <c r="C562" s="6"/>
      <c r="D562" s="6"/>
      <c r="E562" s="6"/>
    </row>
    <row r="563" spans="3:5" ht="13" x14ac:dyDescent="0.6">
      <c r="C563" s="6"/>
      <c r="D563" s="6"/>
      <c r="E563" s="6"/>
    </row>
    <row r="564" spans="3:5" ht="13" x14ac:dyDescent="0.6">
      <c r="C564" s="6"/>
      <c r="D564" s="6"/>
      <c r="E564" s="6"/>
    </row>
    <row r="565" spans="3:5" ht="13" x14ac:dyDescent="0.6">
      <c r="C565" s="6"/>
      <c r="D565" s="6"/>
      <c r="E565" s="6"/>
    </row>
    <row r="566" spans="3:5" ht="13" x14ac:dyDescent="0.6">
      <c r="C566" s="6"/>
      <c r="D566" s="6"/>
      <c r="E566" s="6"/>
    </row>
    <row r="567" spans="3:5" ht="13" x14ac:dyDescent="0.6">
      <c r="C567" s="6"/>
      <c r="D567" s="6"/>
      <c r="E567" s="6"/>
    </row>
    <row r="568" spans="3:5" ht="13" x14ac:dyDescent="0.6">
      <c r="C568" s="6"/>
      <c r="D568" s="6"/>
      <c r="E568" s="6"/>
    </row>
    <row r="569" spans="3:5" ht="13" x14ac:dyDescent="0.6">
      <c r="C569" s="6"/>
      <c r="D569" s="6"/>
      <c r="E569" s="6"/>
    </row>
    <row r="570" spans="3:5" ht="13" x14ac:dyDescent="0.6">
      <c r="C570" s="6"/>
      <c r="D570" s="6"/>
      <c r="E570" s="6"/>
    </row>
    <row r="571" spans="3:5" ht="13" x14ac:dyDescent="0.6">
      <c r="C571" s="6"/>
      <c r="D571" s="6"/>
      <c r="E571" s="6"/>
    </row>
    <row r="572" spans="3:5" ht="13" x14ac:dyDescent="0.6">
      <c r="C572" s="6"/>
      <c r="D572" s="6"/>
      <c r="E572" s="6"/>
    </row>
    <row r="573" spans="3:5" ht="13" x14ac:dyDescent="0.6">
      <c r="C573" s="6"/>
      <c r="D573" s="6"/>
      <c r="E573" s="6"/>
    </row>
    <row r="574" spans="3:5" ht="13" x14ac:dyDescent="0.6">
      <c r="C574" s="6"/>
      <c r="D574" s="6"/>
      <c r="E574" s="6"/>
    </row>
    <row r="575" spans="3:5" ht="13" x14ac:dyDescent="0.6">
      <c r="C575" s="6"/>
      <c r="D575" s="6"/>
      <c r="E575" s="6"/>
    </row>
    <row r="576" spans="3:5" ht="13" x14ac:dyDescent="0.6">
      <c r="C576" s="6"/>
      <c r="D576" s="6"/>
      <c r="E576" s="6"/>
    </row>
    <row r="577" spans="3:5" ht="13" x14ac:dyDescent="0.6">
      <c r="C577" s="6"/>
      <c r="D577" s="6"/>
      <c r="E577" s="6"/>
    </row>
    <row r="578" spans="3:5" ht="13" x14ac:dyDescent="0.6">
      <c r="C578" s="6"/>
      <c r="D578" s="6"/>
      <c r="E578" s="6"/>
    </row>
    <row r="579" spans="3:5" ht="13" x14ac:dyDescent="0.6">
      <c r="C579" s="6"/>
      <c r="D579" s="6"/>
      <c r="E579" s="6"/>
    </row>
    <row r="580" spans="3:5" ht="13" x14ac:dyDescent="0.6">
      <c r="C580" s="6"/>
      <c r="D580" s="6"/>
      <c r="E580" s="6"/>
    </row>
    <row r="581" spans="3:5" ht="13" x14ac:dyDescent="0.6">
      <c r="C581" s="6"/>
      <c r="D581" s="6"/>
      <c r="E581" s="6"/>
    </row>
    <row r="582" spans="3:5" ht="13" x14ac:dyDescent="0.6">
      <c r="C582" s="6"/>
      <c r="D582" s="6"/>
      <c r="E582" s="6"/>
    </row>
    <row r="583" spans="3:5" ht="13" x14ac:dyDescent="0.6">
      <c r="C583" s="6"/>
      <c r="D583" s="6"/>
      <c r="E583" s="6"/>
    </row>
    <row r="584" spans="3:5" ht="13" x14ac:dyDescent="0.6">
      <c r="C584" s="6"/>
      <c r="D584" s="6"/>
      <c r="E584" s="6"/>
    </row>
    <row r="585" spans="3:5" ht="13" x14ac:dyDescent="0.6">
      <c r="C585" s="6"/>
      <c r="D585" s="6"/>
      <c r="E585" s="6"/>
    </row>
    <row r="586" spans="3:5" ht="13" x14ac:dyDescent="0.6">
      <c r="C586" s="6"/>
      <c r="D586" s="6"/>
      <c r="E586" s="6"/>
    </row>
    <row r="587" spans="3:5" ht="13" x14ac:dyDescent="0.6">
      <c r="C587" s="6"/>
      <c r="D587" s="6"/>
      <c r="E587" s="6"/>
    </row>
    <row r="588" spans="3:5" ht="13" x14ac:dyDescent="0.6">
      <c r="C588" s="6"/>
      <c r="D588" s="6"/>
      <c r="E588" s="6"/>
    </row>
    <row r="589" spans="3:5" ht="13" x14ac:dyDescent="0.6">
      <c r="C589" s="6"/>
      <c r="D589" s="6"/>
      <c r="E589" s="6"/>
    </row>
    <row r="590" spans="3:5" ht="13" x14ac:dyDescent="0.6">
      <c r="C590" s="6"/>
      <c r="D590" s="6"/>
      <c r="E590" s="6"/>
    </row>
    <row r="591" spans="3:5" ht="13" x14ac:dyDescent="0.6">
      <c r="C591" s="6"/>
      <c r="D591" s="6"/>
      <c r="E591" s="6"/>
    </row>
    <row r="592" spans="3:5" ht="13" x14ac:dyDescent="0.6">
      <c r="C592" s="6"/>
      <c r="D592" s="6"/>
      <c r="E592" s="6"/>
    </row>
    <row r="593" spans="3:5" ht="13" x14ac:dyDescent="0.6">
      <c r="C593" s="6"/>
      <c r="D593" s="6"/>
      <c r="E593" s="6"/>
    </row>
    <row r="594" spans="3:5" ht="13" x14ac:dyDescent="0.6">
      <c r="C594" s="6"/>
      <c r="D594" s="6"/>
      <c r="E594" s="6"/>
    </row>
    <row r="595" spans="3:5" ht="13" x14ac:dyDescent="0.6">
      <c r="C595" s="6"/>
      <c r="D595" s="6"/>
      <c r="E595" s="6"/>
    </row>
    <row r="596" spans="3:5" ht="13" x14ac:dyDescent="0.6">
      <c r="C596" s="6"/>
      <c r="D596" s="6"/>
      <c r="E596" s="6"/>
    </row>
    <row r="597" spans="3:5" ht="13" x14ac:dyDescent="0.6">
      <c r="C597" s="6"/>
      <c r="D597" s="6"/>
      <c r="E597" s="6"/>
    </row>
    <row r="598" spans="3:5" ht="13" x14ac:dyDescent="0.6">
      <c r="C598" s="6"/>
      <c r="D598" s="6"/>
      <c r="E598" s="6"/>
    </row>
    <row r="599" spans="3:5" ht="13" x14ac:dyDescent="0.6">
      <c r="C599" s="6"/>
      <c r="D599" s="6"/>
      <c r="E599" s="6"/>
    </row>
    <row r="600" spans="3:5" ht="13" x14ac:dyDescent="0.6">
      <c r="C600" s="6"/>
      <c r="D600" s="6"/>
      <c r="E600" s="6"/>
    </row>
    <row r="601" spans="3:5" ht="13" x14ac:dyDescent="0.6">
      <c r="C601" s="6"/>
      <c r="D601" s="6"/>
      <c r="E601" s="6"/>
    </row>
    <row r="602" spans="3:5" ht="13" x14ac:dyDescent="0.6">
      <c r="C602" s="6"/>
      <c r="D602" s="6"/>
      <c r="E602" s="6"/>
    </row>
    <row r="603" spans="3:5" ht="13" x14ac:dyDescent="0.6">
      <c r="C603" s="6"/>
      <c r="D603" s="6"/>
      <c r="E603" s="6"/>
    </row>
    <row r="604" spans="3:5" ht="13" x14ac:dyDescent="0.6">
      <c r="C604" s="6"/>
      <c r="D604" s="6"/>
      <c r="E604" s="6"/>
    </row>
    <row r="605" spans="3:5" ht="13" x14ac:dyDescent="0.6">
      <c r="C605" s="6"/>
      <c r="D605" s="6"/>
      <c r="E605" s="6"/>
    </row>
    <row r="606" spans="3:5" ht="13" x14ac:dyDescent="0.6">
      <c r="C606" s="6"/>
      <c r="D606" s="6"/>
      <c r="E606" s="6"/>
    </row>
    <row r="607" spans="3:5" ht="13" x14ac:dyDescent="0.6">
      <c r="C607" s="6"/>
      <c r="D607" s="6"/>
      <c r="E607" s="6"/>
    </row>
    <row r="608" spans="3:5" ht="13" x14ac:dyDescent="0.6">
      <c r="C608" s="6"/>
      <c r="D608" s="6"/>
      <c r="E608" s="6"/>
    </row>
    <row r="609" spans="3:5" ht="13" x14ac:dyDescent="0.6">
      <c r="C609" s="6"/>
      <c r="D609" s="6"/>
      <c r="E609" s="6"/>
    </row>
    <row r="610" spans="3:5" ht="13" x14ac:dyDescent="0.6">
      <c r="C610" s="6"/>
      <c r="D610" s="6"/>
      <c r="E610" s="6"/>
    </row>
    <row r="611" spans="3:5" ht="13" x14ac:dyDescent="0.6">
      <c r="C611" s="6"/>
      <c r="D611" s="6"/>
      <c r="E611" s="6"/>
    </row>
    <row r="612" spans="3:5" ht="13" x14ac:dyDescent="0.6">
      <c r="C612" s="6"/>
      <c r="D612" s="6"/>
      <c r="E612" s="6"/>
    </row>
    <row r="613" spans="3:5" ht="13" x14ac:dyDescent="0.6">
      <c r="C613" s="6"/>
      <c r="D613" s="6"/>
      <c r="E613" s="6"/>
    </row>
    <row r="614" spans="3:5" ht="13" x14ac:dyDescent="0.6">
      <c r="C614" s="6"/>
      <c r="D614" s="6"/>
      <c r="E614" s="6"/>
    </row>
    <row r="615" spans="3:5" ht="13" x14ac:dyDescent="0.6">
      <c r="C615" s="6"/>
      <c r="D615" s="6"/>
      <c r="E615" s="6"/>
    </row>
    <row r="616" spans="3:5" ht="13" x14ac:dyDescent="0.6">
      <c r="C616" s="6"/>
      <c r="D616" s="6"/>
      <c r="E616" s="6"/>
    </row>
    <row r="617" spans="3:5" ht="13" x14ac:dyDescent="0.6">
      <c r="C617" s="6"/>
      <c r="D617" s="6"/>
      <c r="E617" s="6"/>
    </row>
    <row r="618" spans="3:5" ht="13" x14ac:dyDescent="0.6">
      <c r="C618" s="6"/>
      <c r="D618" s="6"/>
      <c r="E618" s="6"/>
    </row>
    <row r="619" spans="3:5" ht="13" x14ac:dyDescent="0.6">
      <c r="C619" s="6"/>
      <c r="D619" s="6"/>
      <c r="E619" s="6"/>
    </row>
    <row r="620" spans="3:5" ht="13" x14ac:dyDescent="0.6">
      <c r="C620" s="6"/>
      <c r="D620" s="6"/>
      <c r="E620" s="6"/>
    </row>
    <row r="621" spans="3:5" ht="13" x14ac:dyDescent="0.6">
      <c r="C621" s="6"/>
      <c r="D621" s="6"/>
      <c r="E621" s="6"/>
    </row>
    <row r="622" spans="3:5" ht="13" x14ac:dyDescent="0.6">
      <c r="C622" s="6"/>
      <c r="D622" s="6"/>
      <c r="E622" s="6"/>
    </row>
    <row r="623" spans="3:5" ht="13" x14ac:dyDescent="0.6">
      <c r="C623" s="6"/>
      <c r="D623" s="6"/>
      <c r="E623" s="6"/>
    </row>
    <row r="624" spans="3:5" ht="13" x14ac:dyDescent="0.6">
      <c r="C624" s="6"/>
      <c r="D624" s="6"/>
      <c r="E624" s="6"/>
    </row>
    <row r="625" spans="3:5" ht="13" x14ac:dyDescent="0.6">
      <c r="C625" s="6"/>
      <c r="D625" s="6"/>
      <c r="E625" s="6"/>
    </row>
    <row r="626" spans="3:5" ht="13" x14ac:dyDescent="0.6">
      <c r="C626" s="6"/>
      <c r="D626" s="6"/>
      <c r="E626" s="6"/>
    </row>
    <row r="627" spans="3:5" ht="13" x14ac:dyDescent="0.6">
      <c r="C627" s="6"/>
      <c r="D627" s="6"/>
      <c r="E627" s="6"/>
    </row>
    <row r="628" spans="3:5" ht="13" x14ac:dyDescent="0.6">
      <c r="C628" s="6"/>
      <c r="D628" s="6"/>
      <c r="E628" s="6"/>
    </row>
    <row r="629" spans="3:5" ht="13" x14ac:dyDescent="0.6">
      <c r="C629" s="6"/>
      <c r="D629" s="6"/>
      <c r="E629" s="6"/>
    </row>
    <row r="630" spans="3:5" ht="13" x14ac:dyDescent="0.6">
      <c r="C630" s="6"/>
      <c r="D630" s="6"/>
      <c r="E630" s="6"/>
    </row>
    <row r="631" spans="3:5" ht="13" x14ac:dyDescent="0.6">
      <c r="C631" s="6"/>
      <c r="D631" s="6"/>
      <c r="E631" s="6"/>
    </row>
    <row r="632" spans="3:5" ht="13" x14ac:dyDescent="0.6">
      <c r="C632" s="6"/>
      <c r="D632" s="6"/>
      <c r="E632" s="6"/>
    </row>
    <row r="633" spans="3:5" ht="13" x14ac:dyDescent="0.6">
      <c r="C633" s="6"/>
      <c r="D633" s="6"/>
      <c r="E633" s="6"/>
    </row>
    <row r="634" spans="3:5" ht="13" x14ac:dyDescent="0.6">
      <c r="C634" s="6"/>
      <c r="D634" s="6"/>
      <c r="E634" s="6"/>
    </row>
    <row r="635" spans="3:5" ht="13" x14ac:dyDescent="0.6">
      <c r="C635" s="6"/>
      <c r="D635" s="6"/>
      <c r="E635" s="6"/>
    </row>
    <row r="636" spans="3:5" ht="13" x14ac:dyDescent="0.6">
      <c r="C636" s="6"/>
      <c r="D636" s="6"/>
      <c r="E636" s="6"/>
    </row>
    <row r="637" spans="3:5" ht="13" x14ac:dyDescent="0.6">
      <c r="C637" s="6"/>
      <c r="D637" s="6"/>
      <c r="E637" s="6"/>
    </row>
    <row r="638" spans="3:5" ht="13" x14ac:dyDescent="0.6">
      <c r="C638" s="6"/>
      <c r="D638" s="6"/>
      <c r="E638" s="6"/>
    </row>
    <row r="639" spans="3:5" ht="13" x14ac:dyDescent="0.6">
      <c r="C639" s="6"/>
      <c r="D639" s="6"/>
      <c r="E639" s="6"/>
    </row>
    <row r="640" spans="3:5" ht="13" x14ac:dyDescent="0.6">
      <c r="C640" s="6"/>
      <c r="D640" s="6"/>
      <c r="E640" s="6"/>
    </row>
    <row r="641" spans="3:5" ht="13" x14ac:dyDescent="0.6">
      <c r="C641" s="6"/>
      <c r="D641" s="6"/>
      <c r="E641" s="6"/>
    </row>
    <row r="642" spans="3:5" ht="13" x14ac:dyDescent="0.6">
      <c r="C642" s="6"/>
      <c r="D642" s="6"/>
      <c r="E642" s="6"/>
    </row>
    <row r="643" spans="3:5" ht="13" x14ac:dyDescent="0.6">
      <c r="C643" s="6"/>
      <c r="D643" s="6"/>
      <c r="E643" s="6"/>
    </row>
    <row r="644" spans="3:5" ht="13" x14ac:dyDescent="0.6">
      <c r="C644" s="6"/>
      <c r="D644" s="6"/>
      <c r="E644" s="6"/>
    </row>
    <row r="645" spans="3:5" ht="13" x14ac:dyDescent="0.6">
      <c r="C645" s="6"/>
      <c r="D645" s="6"/>
      <c r="E645" s="6"/>
    </row>
    <row r="646" spans="3:5" ht="13" x14ac:dyDescent="0.6">
      <c r="C646" s="6"/>
      <c r="D646" s="6"/>
      <c r="E646" s="6"/>
    </row>
    <row r="647" spans="3:5" ht="13" x14ac:dyDescent="0.6">
      <c r="C647" s="6"/>
      <c r="D647" s="6"/>
      <c r="E647" s="6"/>
    </row>
    <row r="648" spans="3:5" ht="13" x14ac:dyDescent="0.6">
      <c r="C648" s="6"/>
      <c r="D648" s="6"/>
      <c r="E648" s="6"/>
    </row>
    <row r="649" spans="3:5" ht="13" x14ac:dyDescent="0.6">
      <c r="C649" s="6"/>
      <c r="D649" s="6"/>
      <c r="E649" s="6"/>
    </row>
    <row r="650" spans="3:5" ht="13" x14ac:dyDescent="0.6">
      <c r="C650" s="6"/>
      <c r="D650" s="6"/>
      <c r="E650" s="6"/>
    </row>
    <row r="651" spans="3:5" ht="13" x14ac:dyDescent="0.6">
      <c r="C651" s="6"/>
      <c r="D651" s="6"/>
      <c r="E651" s="6"/>
    </row>
    <row r="652" spans="3:5" ht="13" x14ac:dyDescent="0.6">
      <c r="C652" s="6"/>
      <c r="D652" s="6"/>
      <c r="E652" s="6"/>
    </row>
    <row r="653" spans="3:5" ht="13" x14ac:dyDescent="0.6">
      <c r="C653" s="6"/>
      <c r="D653" s="6"/>
      <c r="E653" s="6"/>
    </row>
    <row r="654" spans="3:5" ht="13" x14ac:dyDescent="0.6">
      <c r="C654" s="6"/>
      <c r="D654" s="6"/>
      <c r="E654" s="6"/>
    </row>
    <row r="655" spans="3:5" ht="13" x14ac:dyDescent="0.6">
      <c r="C655" s="6"/>
      <c r="D655" s="6"/>
      <c r="E655" s="6"/>
    </row>
    <row r="656" spans="3:5" ht="13" x14ac:dyDescent="0.6">
      <c r="C656" s="6"/>
      <c r="D656" s="6"/>
      <c r="E656" s="6"/>
    </row>
    <row r="657" spans="3:5" ht="13" x14ac:dyDescent="0.6">
      <c r="C657" s="6"/>
      <c r="D657" s="6"/>
      <c r="E657" s="6"/>
    </row>
    <row r="658" spans="3:5" ht="13" x14ac:dyDescent="0.6">
      <c r="C658" s="6"/>
      <c r="D658" s="6"/>
      <c r="E658" s="6"/>
    </row>
    <row r="659" spans="3:5" ht="13" x14ac:dyDescent="0.6">
      <c r="C659" s="6"/>
      <c r="D659" s="6"/>
      <c r="E659" s="6"/>
    </row>
    <row r="660" spans="3:5" ht="13" x14ac:dyDescent="0.6">
      <c r="C660" s="6"/>
      <c r="D660" s="6"/>
      <c r="E660" s="6"/>
    </row>
    <row r="661" spans="3:5" ht="13" x14ac:dyDescent="0.6">
      <c r="C661" s="6"/>
      <c r="D661" s="6"/>
      <c r="E661" s="6"/>
    </row>
    <row r="662" spans="3:5" ht="13" x14ac:dyDescent="0.6">
      <c r="C662" s="6"/>
      <c r="D662" s="6"/>
      <c r="E662" s="6"/>
    </row>
    <row r="663" spans="3:5" ht="13" x14ac:dyDescent="0.6">
      <c r="C663" s="6"/>
      <c r="D663" s="6"/>
      <c r="E663" s="6"/>
    </row>
    <row r="664" spans="3:5" ht="13" x14ac:dyDescent="0.6">
      <c r="C664" s="6"/>
      <c r="D664" s="6"/>
      <c r="E664" s="6"/>
    </row>
    <row r="665" spans="3:5" ht="13" x14ac:dyDescent="0.6">
      <c r="C665" s="6"/>
      <c r="D665" s="6"/>
      <c r="E665" s="6"/>
    </row>
    <row r="666" spans="3:5" ht="13" x14ac:dyDescent="0.6">
      <c r="C666" s="6"/>
      <c r="D666" s="6"/>
      <c r="E666" s="6"/>
    </row>
    <row r="667" spans="3:5" ht="13" x14ac:dyDescent="0.6">
      <c r="C667" s="6"/>
      <c r="D667" s="6"/>
      <c r="E667" s="6"/>
    </row>
    <row r="668" spans="3:5" ht="13" x14ac:dyDescent="0.6">
      <c r="C668" s="6"/>
      <c r="D668" s="6"/>
      <c r="E668" s="6"/>
    </row>
    <row r="669" spans="3:5" ht="13" x14ac:dyDescent="0.6">
      <c r="C669" s="6"/>
      <c r="D669" s="6"/>
      <c r="E669" s="6"/>
    </row>
    <row r="670" spans="3:5" ht="13" x14ac:dyDescent="0.6">
      <c r="C670" s="6"/>
      <c r="D670" s="6"/>
      <c r="E670" s="6"/>
    </row>
    <row r="671" spans="3:5" ht="13" x14ac:dyDescent="0.6">
      <c r="C671" s="6"/>
      <c r="D671" s="6"/>
      <c r="E671" s="6"/>
    </row>
    <row r="672" spans="3:5" ht="13" x14ac:dyDescent="0.6">
      <c r="C672" s="6"/>
      <c r="D672" s="6"/>
      <c r="E672" s="6"/>
    </row>
    <row r="673" spans="3:5" ht="13" x14ac:dyDescent="0.6">
      <c r="C673" s="6"/>
      <c r="D673" s="6"/>
      <c r="E673" s="6"/>
    </row>
    <row r="674" spans="3:5" ht="13" x14ac:dyDescent="0.6">
      <c r="C674" s="6"/>
      <c r="D674" s="6"/>
      <c r="E674" s="6"/>
    </row>
    <row r="675" spans="3:5" ht="13" x14ac:dyDescent="0.6">
      <c r="C675" s="6"/>
      <c r="D675" s="6"/>
      <c r="E675" s="6"/>
    </row>
    <row r="676" spans="3:5" ht="13" x14ac:dyDescent="0.6">
      <c r="C676" s="6"/>
      <c r="D676" s="6"/>
      <c r="E676" s="6"/>
    </row>
    <row r="677" spans="3:5" ht="13" x14ac:dyDescent="0.6">
      <c r="C677" s="6"/>
      <c r="D677" s="6"/>
      <c r="E677" s="6"/>
    </row>
    <row r="678" spans="3:5" ht="13" x14ac:dyDescent="0.6">
      <c r="C678" s="6"/>
      <c r="D678" s="6"/>
      <c r="E678" s="6"/>
    </row>
    <row r="679" spans="3:5" ht="13" x14ac:dyDescent="0.6">
      <c r="C679" s="6"/>
      <c r="D679" s="6"/>
      <c r="E679" s="6"/>
    </row>
    <row r="680" spans="3:5" ht="13" x14ac:dyDescent="0.6">
      <c r="C680" s="6"/>
      <c r="D680" s="6"/>
      <c r="E680" s="6"/>
    </row>
    <row r="681" spans="3:5" ht="13" x14ac:dyDescent="0.6">
      <c r="C681" s="6"/>
      <c r="D681" s="6"/>
      <c r="E681" s="6"/>
    </row>
    <row r="682" spans="3:5" ht="13" x14ac:dyDescent="0.6">
      <c r="C682" s="6"/>
      <c r="D682" s="6"/>
      <c r="E682" s="6"/>
    </row>
    <row r="683" spans="3:5" ht="13" x14ac:dyDescent="0.6">
      <c r="C683" s="6"/>
      <c r="D683" s="6"/>
      <c r="E683" s="6"/>
    </row>
    <row r="684" spans="3:5" ht="13" x14ac:dyDescent="0.6">
      <c r="C684" s="6"/>
      <c r="D684" s="6"/>
      <c r="E684" s="6"/>
    </row>
    <row r="685" spans="3:5" ht="13" x14ac:dyDescent="0.6">
      <c r="C685" s="6"/>
      <c r="D685" s="6"/>
      <c r="E685" s="6"/>
    </row>
    <row r="686" spans="3:5" ht="13" x14ac:dyDescent="0.6">
      <c r="C686" s="6"/>
      <c r="D686" s="6"/>
      <c r="E686" s="6"/>
    </row>
    <row r="687" spans="3:5" ht="13" x14ac:dyDescent="0.6">
      <c r="C687" s="6"/>
      <c r="D687" s="6"/>
      <c r="E687" s="6"/>
    </row>
    <row r="688" spans="3:5" ht="13" x14ac:dyDescent="0.6">
      <c r="C688" s="6"/>
      <c r="D688" s="6"/>
      <c r="E688" s="6"/>
    </row>
    <row r="689" spans="3:5" ht="13" x14ac:dyDescent="0.6">
      <c r="C689" s="6"/>
      <c r="D689" s="6"/>
      <c r="E689" s="6"/>
    </row>
    <row r="690" spans="3:5" ht="13" x14ac:dyDescent="0.6">
      <c r="C690" s="6"/>
      <c r="D690" s="6"/>
      <c r="E690" s="6"/>
    </row>
    <row r="691" spans="3:5" ht="13" x14ac:dyDescent="0.6">
      <c r="C691" s="6"/>
      <c r="D691" s="6"/>
      <c r="E691" s="6"/>
    </row>
    <row r="692" spans="3:5" ht="13" x14ac:dyDescent="0.6">
      <c r="C692" s="6"/>
      <c r="D692" s="6"/>
      <c r="E692" s="6"/>
    </row>
    <row r="693" spans="3:5" ht="13" x14ac:dyDescent="0.6">
      <c r="C693" s="6"/>
      <c r="D693" s="6"/>
      <c r="E693" s="6"/>
    </row>
    <row r="694" spans="3:5" ht="13" x14ac:dyDescent="0.6">
      <c r="C694" s="6"/>
      <c r="D694" s="6"/>
      <c r="E694" s="6"/>
    </row>
    <row r="695" spans="3:5" ht="13" x14ac:dyDescent="0.6">
      <c r="C695" s="6"/>
      <c r="D695" s="6"/>
      <c r="E695" s="6"/>
    </row>
    <row r="696" spans="3:5" ht="13" x14ac:dyDescent="0.6">
      <c r="C696" s="6"/>
      <c r="D696" s="6"/>
      <c r="E696" s="6"/>
    </row>
    <row r="697" spans="3:5" ht="13" x14ac:dyDescent="0.6">
      <c r="C697" s="6"/>
      <c r="D697" s="6"/>
      <c r="E697" s="6"/>
    </row>
    <row r="698" spans="3:5" ht="13" x14ac:dyDescent="0.6">
      <c r="C698" s="6"/>
      <c r="D698" s="6"/>
      <c r="E698" s="6"/>
    </row>
    <row r="699" spans="3:5" ht="13" x14ac:dyDescent="0.6">
      <c r="C699" s="6"/>
      <c r="D699" s="6"/>
      <c r="E699" s="6"/>
    </row>
    <row r="700" spans="3:5" ht="13" x14ac:dyDescent="0.6">
      <c r="C700" s="6"/>
      <c r="D700" s="6"/>
      <c r="E700" s="6"/>
    </row>
    <row r="701" spans="3:5" ht="13" x14ac:dyDescent="0.6">
      <c r="C701" s="6"/>
      <c r="D701" s="6"/>
      <c r="E701" s="6"/>
    </row>
    <row r="702" spans="3:5" ht="13" x14ac:dyDescent="0.6">
      <c r="C702" s="6"/>
      <c r="D702" s="6"/>
      <c r="E702" s="6"/>
    </row>
    <row r="703" spans="3:5" ht="13" x14ac:dyDescent="0.6">
      <c r="C703" s="6"/>
      <c r="D703" s="6"/>
      <c r="E703" s="6"/>
    </row>
    <row r="704" spans="3:5" ht="13" x14ac:dyDescent="0.6">
      <c r="C704" s="6"/>
      <c r="D704" s="6"/>
      <c r="E704" s="6"/>
    </row>
    <row r="705" spans="3:5" ht="13" x14ac:dyDescent="0.6">
      <c r="C705" s="6"/>
      <c r="D705" s="6"/>
      <c r="E705" s="6"/>
    </row>
    <row r="706" spans="3:5" ht="13" x14ac:dyDescent="0.6">
      <c r="C706" s="6"/>
      <c r="D706" s="6"/>
      <c r="E706" s="6"/>
    </row>
    <row r="707" spans="3:5" ht="13" x14ac:dyDescent="0.6">
      <c r="C707" s="6"/>
      <c r="D707" s="6"/>
      <c r="E707" s="6"/>
    </row>
    <row r="708" spans="3:5" ht="13" x14ac:dyDescent="0.6">
      <c r="C708" s="6"/>
      <c r="D708" s="6"/>
      <c r="E708" s="6"/>
    </row>
    <row r="709" spans="3:5" ht="13" x14ac:dyDescent="0.6">
      <c r="C709" s="6"/>
      <c r="D709" s="6"/>
      <c r="E709" s="6"/>
    </row>
    <row r="710" spans="3:5" ht="13" x14ac:dyDescent="0.6">
      <c r="C710" s="6"/>
      <c r="D710" s="6"/>
      <c r="E710" s="6"/>
    </row>
    <row r="711" spans="3:5" ht="13" x14ac:dyDescent="0.6">
      <c r="C711" s="6"/>
      <c r="D711" s="6"/>
      <c r="E711" s="6"/>
    </row>
    <row r="712" spans="3:5" ht="13" x14ac:dyDescent="0.6">
      <c r="C712" s="6"/>
      <c r="D712" s="6"/>
      <c r="E712" s="6"/>
    </row>
    <row r="713" spans="3:5" ht="13" x14ac:dyDescent="0.6">
      <c r="C713" s="6"/>
      <c r="D713" s="6"/>
      <c r="E713" s="6"/>
    </row>
    <row r="714" spans="3:5" ht="13" x14ac:dyDescent="0.6">
      <c r="C714" s="6"/>
      <c r="D714" s="6"/>
      <c r="E714" s="6"/>
    </row>
    <row r="715" spans="3:5" ht="13" x14ac:dyDescent="0.6">
      <c r="C715" s="6"/>
      <c r="D715" s="6"/>
      <c r="E715" s="6"/>
    </row>
    <row r="716" spans="3:5" ht="13" x14ac:dyDescent="0.6">
      <c r="C716" s="6"/>
      <c r="D716" s="6"/>
      <c r="E716" s="6"/>
    </row>
    <row r="717" spans="3:5" ht="13" x14ac:dyDescent="0.6">
      <c r="C717" s="6"/>
      <c r="D717" s="6"/>
      <c r="E717" s="6"/>
    </row>
    <row r="718" spans="3:5" ht="13" x14ac:dyDescent="0.6">
      <c r="C718" s="6"/>
      <c r="D718" s="6"/>
      <c r="E718" s="6"/>
    </row>
    <row r="719" spans="3:5" ht="13" x14ac:dyDescent="0.6">
      <c r="C719" s="6"/>
      <c r="D719" s="6"/>
      <c r="E719" s="6"/>
    </row>
    <row r="720" spans="3:5" ht="13" x14ac:dyDescent="0.6">
      <c r="C720" s="6"/>
      <c r="D720" s="6"/>
      <c r="E720" s="6"/>
    </row>
    <row r="721" spans="3:5" ht="13" x14ac:dyDescent="0.6">
      <c r="C721" s="6"/>
      <c r="D721" s="6"/>
      <c r="E721" s="6"/>
    </row>
    <row r="722" spans="3:5" ht="13" x14ac:dyDescent="0.6">
      <c r="C722" s="6"/>
      <c r="D722" s="6"/>
      <c r="E722" s="6"/>
    </row>
    <row r="723" spans="3:5" ht="13" x14ac:dyDescent="0.6">
      <c r="C723" s="6"/>
      <c r="D723" s="6"/>
      <c r="E723" s="6"/>
    </row>
    <row r="724" spans="3:5" ht="13" x14ac:dyDescent="0.6">
      <c r="C724" s="6"/>
      <c r="D724" s="6"/>
      <c r="E724" s="6"/>
    </row>
    <row r="725" spans="3:5" ht="13" x14ac:dyDescent="0.6">
      <c r="C725" s="6"/>
      <c r="D725" s="6"/>
      <c r="E725" s="6"/>
    </row>
    <row r="726" spans="3:5" ht="13" x14ac:dyDescent="0.6">
      <c r="C726" s="6"/>
      <c r="D726" s="6"/>
      <c r="E726" s="6"/>
    </row>
    <row r="727" spans="3:5" ht="13" x14ac:dyDescent="0.6">
      <c r="C727" s="6"/>
      <c r="D727" s="6"/>
      <c r="E727" s="6"/>
    </row>
    <row r="728" spans="3:5" ht="13" x14ac:dyDescent="0.6">
      <c r="C728" s="6"/>
      <c r="D728" s="6"/>
      <c r="E728" s="6"/>
    </row>
    <row r="729" spans="3:5" ht="13" x14ac:dyDescent="0.6">
      <c r="C729" s="6"/>
      <c r="D729" s="6"/>
      <c r="E729" s="6"/>
    </row>
    <row r="730" spans="3:5" ht="13" x14ac:dyDescent="0.6">
      <c r="C730" s="6"/>
      <c r="D730" s="6"/>
      <c r="E730" s="6"/>
    </row>
    <row r="731" spans="3:5" ht="13" x14ac:dyDescent="0.6">
      <c r="C731" s="6"/>
      <c r="D731" s="6"/>
      <c r="E731" s="6"/>
    </row>
    <row r="732" spans="3:5" ht="13" x14ac:dyDescent="0.6">
      <c r="C732" s="6"/>
      <c r="D732" s="6"/>
      <c r="E732" s="6"/>
    </row>
    <row r="733" spans="3:5" ht="13" x14ac:dyDescent="0.6">
      <c r="C733" s="6"/>
      <c r="D733" s="6"/>
      <c r="E733" s="6"/>
    </row>
    <row r="734" spans="3:5" ht="13" x14ac:dyDescent="0.6">
      <c r="C734" s="6"/>
      <c r="D734" s="6"/>
      <c r="E734" s="6"/>
    </row>
    <row r="735" spans="3:5" ht="13" x14ac:dyDescent="0.6">
      <c r="C735" s="6"/>
      <c r="D735" s="6"/>
      <c r="E735" s="6"/>
    </row>
    <row r="736" spans="3:5" ht="13" x14ac:dyDescent="0.6">
      <c r="C736" s="6"/>
      <c r="D736" s="6"/>
      <c r="E736" s="6"/>
    </row>
    <row r="737" spans="3:5" ht="13" x14ac:dyDescent="0.6">
      <c r="C737" s="6"/>
      <c r="D737" s="6"/>
      <c r="E737" s="6"/>
    </row>
    <row r="738" spans="3:5" ht="13" x14ac:dyDescent="0.6">
      <c r="C738" s="6"/>
      <c r="D738" s="6"/>
      <c r="E738" s="6"/>
    </row>
    <row r="739" spans="3:5" ht="13" x14ac:dyDescent="0.6">
      <c r="C739" s="6"/>
      <c r="D739" s="6"/>
      <c r="E739" s="6"/>
    </row>
    <row r="740" spans="3:5" ht="13" x14ac:dyDescent="0.6">
      <c r="C740" s="6"/>
      <c r="D740" s="6"/>
      <c r="E740" s="6"/>
    </row>
    <row r="741" spans="3:5" ht="13" x14ac:dyDescent="0.6">
      <c r="C741" s="6"/>
      <c r="D741" s="6"/>
      <c r="E741" s="6"/>
    </row>
    <row r="742" spans="3:5" ht="13" x14ac:dyDescent="0.6">
      <c r="C742" s="6"/>
      <c r="D742" s="6"/>
      <c r="E742" s="6"/>
    </row>
    <row r="743" spans="3:5" ht="13" x14ac:dyDescent="0.6">
      <c r="C743" s="6"/>
      <c r="D743" s="6"/>
      <c r="E743" s="6"/>
    </row>
    <row r="744" spans="3:5" ht="13" x14ac:dyDescent="0.6">
      <c r="C744" s="6"/>
      <c r="D744" s="6"/>
      <c r="E744" s="6"/>
    </row>
    <row r="745" spans="3:5" ht="13" x14ac:dyDescent="0.6">
      <c r="C745" s="6"/>
      <c r="D745" s="6"/>
      <c r="E745" s="6"/>
    </row>
    <row r="746" spans="3:5" ht="13" x14ac:dyDescent="0.6">
      <c r="C746" s="6"/>
      <c r="D746" s="6"/>
      <c r="E746" s="6"/>
    </row>
    <row r="747" spans="3:5" ht="13" x14ac:dyDescent="0.6">
      <c r="C747" s="6"/>
      <c r="D747" s="6"/>
      <c r="E747" s="6"/>
    </row>
    <row r="748" spans="3:5" ht="13" x14ac:dyDescent="0.6">
      <c r="C748" s="6"/>
      <c r="D748" s="6"/>
      <c r="E748" s="6"/>
    </row>
    <row r="749" spans="3:5" ht="13" x14ac:dyDescent="0.6">
      <c r="C749" s="6"/>
      <c r="D749" s="6"/>
      <c r="E749" s="6"/>
    </row>
    <row r="750" spans="3:5" ht="13" x14ac:dyDescent="0.6">
      <c r="C750" s="6"/>
      <c r="D750" s="6"/>
      <c r="E750" s="6"/>
    </row>
    <row r="751" spans="3:5" ht="13" x14ac:dyDescent="0.6">
      <c r="C751" s="6"/>
      <c r="D751" s="6"/>
      <c r="E751" s="6"/>
    </row>
    <row r="752" spans="3:5" ht="13" x14ac:dyDescent="0.6">
      <c r="C752" s="6"/>
      <c r="D752" s="6"/>
      <c r="E752" s="6"/>
    </row>
    <row r="753" spans="3:5" ht="13" x14ac:dyDescent="0.6">
      <c r="C753" s="6"/>
      <c r="D753" s="6"/>
      <c r="E753" s="6"/>
    </row>
    <row r="754" spans="3:5" ht="13" x14ac:dyDescent="0.6">
      <c r="C754" s="6"/>
      <c r="D754" s="6"/>
      <c r="E754" s="6"/>
    </row>
    <row r="755" spans="3:5" ht="13" x14ac:dyDescent="0.6">
      <c r="C755" s="6"/>
      <c r="D755" s="6"/>
      <c r="E755" s="6"/>
    </row>
    <row r="756" spans="3:5" ht="13" x14ac:dyDescent="0.6">
      <c r="C756" s="6"/>
      <c r="D756" s="6"/>
      <c r="E756" s="6"/>
    </row>
    <row r="757" spans="3:5" ht="13" x14ac:dyDescent="0.6">
      <c r="C757" s="6"/>
      <c r="D757" s="6"/>
      <c r="E757" s="6"/>
    </row>
    <row r="758" spans="3:5" ht="13" x14ac:dyDescent="0.6">
      <c r="C758" s="6"/>
      <c r="D758" s="6"/>
      <c r="E758" s="6"/>
    </row>
    <row r="759" spans="3:5" ht="13" x14ac:dyDescent="0.6">
      <c r="C759" s="6"/>
      <c r="D759" s="6"/>
      <c r="E759" s="6"/>
    </row>
    <row r="760" spans="3:5" ht="13" x14ac:dyDescent="0.6">
      <c r="C760" s="6"/>
      <c r="D760" s="6"/>
      <c r="E760" s="6"/>
    </row>
    <row r="761" spans="3:5" ht="13" x14ac:dyDescent="0.6">
      <c r="C761" s="6"/>
      <c r="D761" s="6"/>
      <c r="E761" s="6"/>
    </row>
    <row r="762" spans="3:5" ht="13" x14ac:dyDescent="0.6">
      <c r="C762" s="6"/>
      <c r="D762" s="6"/>
      <c r="E762" s="6"/>
    </row>
    <row r="763" spans="3:5" ht="13" x14ac:dyDescent="0.6">
      <c r="C763" s="6"/>
      <c r="D763" s="6"/>
      <c r="E763" s="6"/>
    </row>
    <row r="764" spans="3:5" ht="13" x14ac:dyDescent="0.6">
      <c r="C764" s="6"/>
      <c r="D764" s="6"/>
      <c r="E764" s="6"/>
    </row>
    <row r="765" spans="3:5" ht="13" x14ac:dyDescent="0.6">
      <c r="C765" s="6"/>
      <c r="D765" s="6"/>
      <c r="E765" s="6"/>
    </row>
    <row r="766" spans="3:5" ht="13" x14ac:dyDescent="0.6">
      <c r="C766" s="6"/>
      <c r="D766" s="6"/>
      <c r="E766" s="6"/>
    </row>
    <row r="767" spans="3:5" ht="13" x14ac:dyDescent="0.6">
      <c r="C767" s="6"/>
      <c r="D767" s="6"/>
      <c r="E767" s="6"/>
    </row>
    <row r="768" spans="3:5" ht="13" x14ac:dyDescent="0.6">
      <c r="C768" s="6"/>
      <c r="D768" s="6"/>
      <c r="E768" s="6"/>
    </row>
    <row r="769" spans="3:5" ht="13" x14ac:dyDescent="0.6">
      <c r="C769" s="6"/>
      <c r="D769" s="6"/>
      <c r="E769" s="6"/>
    </row>
    <row r="770" spans="3:5" ht="13" x14ac:dyDescent="0.6">
      <c r="C770" s="6"/>
      <c r="D770" s="6"/>
      <c r="E770" s="6"/>
    </row>
    <row r="771" spans="3:5" ht="13" x14ac:dyDescent="0.6">
      <c r="C771" s="6"/>
      <c r="D771" s="6"/>
      <c r="E771" s="6"/>
    </row>
    <row r="772" spans="3:5" ht="13" x14ac:dyDescent="0.6">
      <c r="C772" s="6"/>
      <c r="D772" s="6"/>
      <c r="E772" s="6"/>
    </row>
    <row r="773" spans="3:5" ht="13" x14ac:dyDescent="0.6">
      <c r="C773" s="6"/>
      <c r="D773" s="6"/>
      <c r="E773" s="6"/>
    </row>
    <row r="774" spans="3:5" ht="13" x14ac:dyDescent="0.6">
      <c r="C774" s="6"/>
      <c r="D774" s="6"/>
      <c r="E774" s="6"/>
    </row>
    <row r="775" spans="3:5" ht="13" x14ac:dyDescent="0.6">
      <c r="C775" s="6"/>
      <c r="D775" s="6"/>
      <c r="E775" s="6"/>
    </row>
    <row r="776" spans="3:5" ht="13" x14ac:dyDescent="0.6">
      <c r="C776" s="6"/>
      <c r="D776" s="6"/>
      <c r="E776" s="6"/>
    </row>
    <row r="777" spans="3:5" ht="13" x14ac:dyDescent="0.6">
      <c r="C777" s="6"/>
      <c r="D777" s="6"/>
      <c r="E777" s="6"/>
    </row>
    <row r="778" spans="3:5" ht="13" x14ac:dyDescent="0.6">
      <c r="C778" s="6"/>
      <c r="D778" s="6"/>
      <c r="E778" s="6"/>
    </row>
    <row r="779" spans="3:5" ht="13" x14ac:dyDescent="0.6">
      <c r="C779" s="6"/>
      <c r="D779" s="6"/>
      <c r="E779" s="6"/>
    </row>
    <row r="780" spans="3:5" ht="13" x14ac:dyDescent="0.6">
      <c r="C780" s="6"/>
      <c r="D780" s="6"/>
      <c r="E780" s="6"/>
    </row>
    <row r="781" spans="3:5" ht="13" x14ac:dyDescent="0.6">
      <c r="C781" s="6"/>
      <c r="D781" s="6"/>
      <c r="E781" s="6"/>
    </row>
    <row r="782" spans="3:5" ht="13" x14ac:dyDescent="0.6">
      <c r="C782" s="6"/>
      <c r="D782" s="6"/>
      <c r="E782" s="6"/>
    </row>
    <row r="783" spans="3:5" ht="13" x14ac:dyDescent="0.6">
      <c r="C783" s="6"/>
      <c r="D783" s="6"/>
      <c r="E783" s="6"/>
    </row>
    <row r="784" spans="3:5" ht="13" x14ac:dyDescent="0.6">
      <c r="C784" s="6"/>
      <c r="D784" s="6"/>
      <c r="E784" s="6"/>
    </row>
    <row r="785" spans="3:5" ht="13" x14ac:dyDescent="0.6">
      <c r="C785" s="6"/>
      <c r="D785" s="6"/>
      <c r="E785" s="6"/>
    </row>
    <row r="786" spans="3:5" ht="13" x14ac:dyDescent="0.6">
      <c r="C786" s="6"/>
      <c r="D786" s="6"/>
      <c r="E786" s="6"/>
    </row>
    <row r="787" spans="3:5" ht="13" x14ac:dyDescent="0.6">
      <c r="C787" s="6"/>
      <c r="D787" s="6"/>
      <c r="E787" s="6"/>
    </row>
    <row r="788" spans="3:5" ht="13" x14ac:dyDescent="0.6">
      <c r="C788" s="6"/>
      <c r="D788" s="6"/>
      <c r="E788" s="6"/>
    </row>
    <row r="789" spans="3:5" ht="13" x14ac:dyDescent="0.6">
      <c r="C789" s="6"/>
      <c r="D789" s="6"/>
      <c r="E789" s="6"/>
    </row>
    <row r="790" spans="3:5" ht="13" x14ac:dyDescent="0.6">
      <c r="C790" s="6"/>
      <c r="D790" s="6"/>
      <c r="E790" s="6"/>
    </row>
    <row r="791" spans="3:5" ht="13" x14ac:dyDescent="0.6">
      <c r="C791" s="6"/>
      <c r="D791" s="6"/>
      <c r="E791" s="6"/>
    </row>
    <row r="792" spans="3:5" ht="13" x14ac:dyDescent="0.6">
      <c r="C792" s="6"/>
      <c r="D792" s="6"/>
      <c r="E792" s="6"/>
    </row>
    <row r="793" spans="3:5" ht="13" x14ac:dyDescent="0.6">
      <c r="C793" s="6"/>
      <c r="D793" s="6"/>
      <c r="E793" s="6"/>
    </row>
    <row r="794" spans="3:5" ht="13" x14ac:dyDescent="0.6">
      <c r="C794" s="6"/>
      <c r="D794" s="6"/>
      <c r="E794" s="6"/>
    </row>
    <row r="795" spans="3:5" ht="13" x14ac:dyDescent="0.6">
      <c r="C795" s="6"/>
      <c r="D795" s="6"/>
      <c r="E795" s="6"/>
    </row>
    <row r="796" spans="3:5" ht="13" x14ac:dyDescent="0.6">
      <c r="C796" s="6"/>
      <c r="D796" s="6"/>
      <c r="E796" s="6"/>
    </row>
    <row r="797" spans="3:5" ht="13" x14ac:dyDescent="0.6">
      <c r="C797" s="6"/>
      <c r="D797" s="6"/>
      <c r="E797" s="6"/>
    </row>
    <row r="798" spans="3:5" ht="13" x14ac:dyDescent="0.6">
      <c r="C798" s="6"/>
      <c r="D798" s="6"/>
      <c r="E798" s="6"/>
    </row>
    <row r="799" spans="3:5" ht="13" x14ac:dyDescent="0.6">
      <c r="C799" s="6"/>
      <c r="D799" s="6"/>
      <c r="E799" s="6"/>
    </row>
    <row r="800" spans="3:5" ht="13" x14ac:dyDescent="0.6">
      <c r="C800" s="6"/>
      <c r="D800" s="6"/>
      <c r="E800" s="6"/>
    </row>
    <row r="801" spans="3:5" ht="13" x14ac:dyDescent="0.6">
      <c r="C801" s="6"/>
      <c r="D801" s="6"/>
      <c r="E801" s="6"/>
    </row>
    <row r="802" spans="3:5" ht="13" x14ac:dyDescent="0.6">
      <c r="C802" s="6"/>
      <c r="D802" s="6"/>
      <c r="E802" s="6"/>
    </row>
    <row r="803" spans="3:5" ht="13" x14ac:dyDescent="0.6">
      <c r="C803" s="6"/>
      <c r="D803" s="6"/>
      <c r="E803" s="6"/>
    </row>
    <row r="804" spans="3:5" ht="13" x14ac:dyDescent="0.6">
      <c r="C804" s="6"/>
      <c r="D804" s="6"/>
      <c r="E804" s="6"/>
    </row>
    <row r="805" spans="3:5" ht="13" x14ac:dyDescent="0.6">
      <c r="C805" s="6"/>
      <c r="D805" s="6"/>
      <c r="E805" s="6"/>
    </row>
    <row r="806" spans="3:5" ht="13" x14ac:dyDescent="0.6">
      <c r="C806" s="6"/>
      <c r="D806" s="6"/>
      <c r="E806" s="6"/>
    </row>
    <row r="807" spans="3:5" ht="13" x14ac:dyDescent="0.6">
      <c r="C807" s="6"/>
      <c r="D807" s="6"/>
      <c r="E807" s="6"/>
    </row>
    <row r="808" spans="3:5" ht="13" x14ac:dyDescent="0.6">
      <c r="C808" s="6"/>
      <c r="D808" s="6"/>
      <c r="E808" s="6"/>
    </row>
    <row r="809" spans="3:5" ht="13" x14ac:dyDescent="0.6">
      <c r="C809" s="6"/>
      <c r="D809" s="6"/>
      <c r="E809" s="6"/>
    </row>
    <row r="810" spans="3:5" ht="13" x14ac:dyDescent="0.6">
      <c r="C810" s="6"/>
      <c r="D810" s="6"/>
      <c r="E810" s="6"/>
    </row>
    <row r="811" spans="3:5" ht="13" x14ac:dyDescent="0.6">
      <c r="C811" s="6"/>
      <c r="D811" s="6"/>
      <c r="E811" s="6"/>
    </row>
    <row r="812" spans="3:5" ht="13" x14ac:dyDescent="0.6">
      <c r="C812" s="6"/>
      <c r="D812" s="6"/>
      <c r="E812" s="6"/>
    </row>
    <row r="813" spans="3:5" ht="13" x14ac:dyDescent="0.6">
      <c r="C813" s="6"/>
      <c r="D813" s="6"/>
      <c r="E813" s="6"/>
    </row>
    <row r="814" spans="3:5" ht="13" x14ac:dyDescent="0.6">
      <c r="C814" s="6"/>
      <c r="D814" s="6"/>
      <c r="E814" s="6"/>
    </row>
    <row r="815" spans="3:5" ht="13" x14ac:dyDescent="0.6">
      <c r="C815" s="6"/>
      <c r="D815" s="6"/>
      <c r="E815" s="6"/>
    </row>
    <row r="816" spans="3:5" ht="13" x14ac:dyDescent="0.6">
      <c r="C816" s="6"/>
      <c r="D816" s="6"/>
      <c r="E816" s="6"/>
    </row>
    <row r="817" spans="3:5" ht="13" x14ac:dyDescent="0.6">
      <c r="C817" s="6"/>
      <c r="D817" s="6"/>
      <c r="E817" s="6"/>
    </row>
    <row r="818" spans="3:5" ht="13" x14ac:dyDescent="0.6">
      <c r="C818" s="6"/>
      <c r="D818" s="6"/>
      <c r="E818" s="6"/>
    </row>
    <row r="819" spans="3:5" ht="13" x14ac:dyDescent="0.6">
      <c r="C819" s="6"/>
      <c r="D819" s="6"/>
      <c r="E819" s="6"/>
    </row>
    <row r="820" spans="3:5" ht="13" x14ac:dyDescent="0.6">
      <c r="C820" s="6"/>
      <c r="D820" s="6"/>
      <c r="E820" s="6"/>
    </row>
    <row r="821" spans="3:5" ht="13" x14ac:dyDescent="0.6">
      <c r="C821" s="6"/>
      <c r="D821" s="6"/>
      <c r="E821" s="6"/>
    </row>
    <row r="822" spans="3:5" ht="13" x14ac:dyDescent="0.6">
      <c r="C822" s="6"/>
      <c r="D822" s="6"/>
      <c r="E822" s="6"/>
    </row>
    <row r="823" spans="3:5" ht="13" x14ac:dyDescent="0.6">
      <c r="C823" s="6"/>
      <c r="D823" s="6"/>
      <c r="E823" s="6"/>
    </row>
    <row r="824" spans="3:5" ht="13" x14ac:dyDescent="0.6">
      <c r="C824" s="6"/>
      <c r="D824" s="6"/>
      <c r="E824" s="6"/>
    </row>
    <row r="825" spans="3:5" ht="13" x14ac:dyDescent="0.6">
      <c r="C825" s="6"/>
      <c r="D825" s="6"/>
      <c r="E825" s="6"/>
    </row>
    <row r="826" spans="3:5" ht="13" x14ac:dyDescent="0.6">
      <c r="C826" s="6"/>
      <c r="D826" s="6"/>
      <c r="E826" s="6"/>
    </row>
    <row r="827" spans="3:5" ht="13" x14ac:dyDescent="0.6">
      <c r="C827" s="6"/>
      <c r="D827" s="6"/>
      <c r="E827" s="6"/>
    </row>
    <row r="828" spans="3:5" ht="13" x14ac:dyDescent="0.6">
      <c r="C828" s="6"/>
      <c r="D828" s="6"/>
      <c r="E828" s="6"/>
    </row>
    <row r="829" spans="3:5" ht="13" x14ac:dyDescent="0.6">
      <c r="C829" s="6"/>
      <c r="D829" s="6"/>
      <c r="E829" s="6"/>
    </row>
    <row r="830" spans="3:5" ht="13" x14ac:dyDescent="0.6">
      <c r="C830" s="6"/>
      <c r="D830" s="6"/>
      <c r="E830" s="6"/>
    </row>
    <row r="831" spans="3:5" ht="13" x14ac:dyDescent="0.6">
      <c r="C831" s="6"/>
      <c r="D831" s="6"/>
      <c r="E831" s="6"/>
    </row>
    <row r="832" spans="3:5" ht="13" x14ac:dyDescent="0.6">
      <c r="C832" s="6"/>
      <c r="D832" s="6"/>
      <c r="E832" s="6"/>
    </row>
    <row r="833" spans="3:5" ht="13" x14ac:dyDescent="0.6">
      <c r="C833" s="6"/>
      <c r="D833" s="6"/>
      <c r="E833" s="6"/>
    </row>
    <row r="834" spans="3:5" ht="13" x14ac:dyDescent="0.6">
      <c r="C834" s="6"/>
      <c r="D834" s="6"/>
      <c r="E834" s="6"/>
    </row>
    <row r="835" spans="3:5" ht="13" x14ac:dyDescent="0.6">
      <c r="C835" s="6"/>
      <c r="D835" s="6"/>
      <c r="E835" s="6"/>
    </row>
    <row r="836" spans="3:5" ht="13" x14ac:dyDescent="0.6">
      <c r="C836" s="6"/>
      <c r="D836" s="6"/>
      <c r="E836" s="6"/>
    </row>
    <row r="837" spans="3:5" ht="13" x14ac:dyDescent="0.6">
      <c r="C837" s="6"/>
      <c r="D837" s="6"/>
      <c r="E837" s="6"/>
    </row>
    <row r="838" spans="3:5" ht="13" x14ac:dyDescent="0.6">
      <c r="C838" s="6"/>
      <c r="D838" s="6"/>
      <c r="E838" s="6"/>
    </row>
    <row r="839" spans="3:5" ht="13" x14ac:dyDescent="0.6">
      <c r="C839" s="6"/>
      <c r="D839" s="6"/>
      <c r="E839" s="6"/>
    </row>
    <row r="840" spans="3:5" ht="13" x14ac:dyDescent="0.6">
      <c r="C840" s="6"/>
      <c r="D840" s="6"/>
      <c r="E840" s="6"/>
    </row>
    <row r="841" spans="3:5" ht="13" x14ac:dyDescent="0.6">
      <c r="C841" s="6"/>
      <c r="D841" s="6"/>
      <c r="E841" s="6"/>
    </row>
    <row r="842" spans="3:5" ht="13" x14ac:dyDescent="0.6">
      <c r="C842" s="6"/>
      <c r="D842" s="6"/>
      <c r="E842" s="6"/>
    </row>
    <row r="843" spans="3:5" ht="13" x14ac:dyDescent="0.6">
      <c r="C843" s="6"/>
      <c r="D843" s="6"/>
      <c r="E843" s="6"/>
    </row>
    <row r="844" spans="3:5" ht="13" x14ac:dyDescent="0.6">
      <c r="C844" s="6"/>
      <c r="D844" s="6"/>
      <c r="E844" s="6"/>
    </row>
    <row r="845" spans="3:5" ht="13" x14ac:dyDescent="0.6">
      <c r="C845" s="6"/>
      <c r="D845" s="6"/>
      <c r="E845" s="6"/>
    </row>
    <row r="846" spans="3:5" ht="13" x14ac:dyDescent="0.6">
      <c r="C846" s="6"/>
      <c r="D846" s="6"/>
      <c r="E846" s="6"/>
    </row>
    <row r="847" spans="3:5" ht="13" x14ac:dyDescent="0.6">
      <c r="C847" s="6"/>
      <c r="D847" s="6"/>
      <c r="E847" s="6"/>
    </row>
    <row r="848" spans="3:5" ht="13" x14ac:dyDescent="0.6">
      <c r="C848" s="6"/>
      <c r="D848" s="6"/>
      <c r="E848" s="6"/>
    </row>
    <row r="849" spans="3:5" ht="13" x14ac:dyDescent="0.6">
      <c r="C849" s="6"/>
      <c r="D849" s="6"/>
      <c r="E849" s="6"/>
    </row>
    <row r="850" spans="3:5" ht="13" x14ac:dyDescent="0.6">
      <c r="C850" s="6"/>
      <c r="D850" s="6"/>
      <c r="E850" s="6"/>
    </row>
    <row r="851" spans="3:5" ht="13" x14ac:dyDescent="0.6">
      <c r="C851" s="6"/>
      <c r="D851" s="6"/>
      <c r="E851" s="6"/>
    </row>
    <row r="852" spans="3:5" ht="13" x14ac:dyDescent="0.6">
      <c r="C852" s="6"/>
      <c r="D852" s="6"/>
      <c r="E852" s="6"/>
    </row>
    <row r="853" spans="3:5" ht="13" x14ac:dyDescent="0.6">
      <c r="C853" s="6"/>
      <c r="D853" s="6"/>
      <c r="E853" s="6"/>
    </row>
    <row r="854" spans="3:5" ht="13" x14ac:dyDescent="0.6">
      <c r="C854" s="6"/>
      <c r="D854" s="6"/>
      <c r="E854" s="6"/>
    </row>
    <row r="855" spans="3:5" ht="13" x14ac:dyDescent="0.6">
      <c r="C855" s="6"/>
      <c r="D855" s="6"/>
      <c r="E855" s="6"/>
    </row>
    <row r="856" spans="3:5" ht="13" x14ac:dyDescent="0.6">
      <c r="C856" s="6"/>
      <c r="D856" s="6"/>
      <c r="E856" s="6"/>
    </row>
    <row r="857" spans="3:5" ht="13" x14ac:dyDescent="0.6">
      <c r="C857" s="6"/>
      <c r="D857" s="6"/>
      <c r="E857" s="6"/>
    </row>
    <row r="858" spans="3:5" ht="13" x14ac:dyDescent="0.6">
      <c r="C858" s="6"/>
      <c r="D858" s="6"/>
      <c r="E858" s="6"/>
    </row>
    <row r="859" spans="3:5" ht="13" x14ac:dyDescent="0.6">
      <c r="C859" s="6"/>
      <c r="D859" s="6"/>
      <c r="E859" s="6"/>
    </row>
    <row r="860" spans="3:5" ht="13" x14ac:dyDescent="0.6">
      <c r="C860" s="6"/>
      <c r="D860" s="6"/>
      <c r="E860" s="6"/>
    </row>
    <row r="861" spans="3:5" ht="13" x14ac:dyDescent="0.6">
      <c r="C861" s="6"/>
      <c r="D861" s="6"/>
      <c r="E861" s="6"/>
    </row>
    <row r="862" spans="3:5" ht="13" x14ac:dyDescent="0.6">
      <c r="C862" s="6"/>
      <c r="D862" s="6"/>
      <c r="E862" s="6"/>
    </row>
    <row r="863" spans="3:5" ht="13" x14ac:dyDescent="0.6">
      <c r="C863" s="6"/>
      <c r="D863" s="6"/>
      <c r="E863" s="6"/>
    </row>
    <row r="864" spans="3:5" ht="13" x14ac:dyDescent="0.6">
      <c r="C864" s="6"/>
      <c r="D864" s="6"/>
      <c r="E864" s="6"/>
    </row>
    <row r="865" spans="3:5" ht="13" x14ac:dyDescent="0.6">
      <c r="C865" s="6"/>
      <c r="D865" s="6"/>
      <c r="E865" s="6"/>
    </row>
    <row r="866" spans="3:5" ht="13" x14ac:dyDescent="0.6">
      <c r="C866" s="6"/>
      <c r="D866" s="6"/>
      <c r="E866" s="6"/>
    </row>
    <row r="867" spans="3:5" ht="13" x14ac:dyDescent="0.6">
      <c r="C867" s="6"/>
      <c r="D867" s="6"/>
      <c r="E867" s="6"/>
    </row>
    <row r="868" spans="3:5" ht="13" x14ac:dyDescent="0.6">
      <c r="C868" s="6"/>
      <c r="D868" s="6"/>
      <c r="E868" s="6"/>
    </row>
    <row r="869" spans="3:5" ht="13" x14ac:dyDescent="0.6">
      <c r="C869" s="6"/>
      <c r="D869" s="6"/>
      <c r="E869" s="6"/>
    </row>
    <row r="870" spans="3:5" ht="13" x14ac:dyDescent="0.6">
      <c r="C870" s="6"/>
      <c r="D870" s="6"/>
      <c r="E870" s="6"/>
    </row>
    <row r="871" spans="3:5" ht="13" x14ac:dyDescent="0.6">
      <c r="C871" s="6"/>
      <c r="D871" s="6"/>
      <c r="E871" s="6"/>
    </row>
    <row r="872" spans="3:5" ht="13" x14ac:dyDescent="0.6">
      <c r="C872" s="6"/>
      <c r="D872" s="6"/>
      <c r="E872" s="6"/>
    </row>
    <row r="873" spans="3:5" ht="13" x14ac:dyDescent="0.6">
      <c r="C873" s="6"/>
      <c r="D873" s="6"/>
      <c r="E873" s="6"/>
    </row>
    <row r="874" spans="3:5" ht="13" x14ac:dyDescent="0.6">
      <c r="C874" s="6"/>
      <c r="D874" s="6"/>
      <c r="E874" s="6"/>
    </row>
    <row r="875" spans="3:5" ht="13" x14ac:dyDescent="0.6">
      <c r="C875" s="6"/>
      <c r="D875" s="6"/>
      <c r="E875" s="6"/>
    </row>
    <row r="876" spans="3:5" ht="13" x14ac:dyDescent="0.6">
      <c r="C876" s="6"/>
      <c r="D876" s="6"/>
      <c r="E876" s="6"/>
    </row>
    <row r="877" spans="3:5" ht="13" x14ac:dyDescent="0.6">
      <c r="C877" s="6"/>
      <c r="D877" s="6"/>
      <c r="E877" s="6"/>
    </row>
    <row r="878" spans="3:5" ht="13" x14ac:dyDescent="0.6">
      <c r="C878" s="6"/>
      <c r="D878" s="6"/>
      <c r="E878" s="6"/>
    </row>
    <row r="879" spans="3:5" ht="13" x14ac:dyDescent="0.6">
      <c r="C879" s="6"/>
      <c r="D879" s="6"/>
      <c r="E879" s="6"/>
    </row>
    <row r="880" spans="3:5" ht="13" x14ac:dyDescent="0.6">
      <c r="C880" s="6"/>
      <c r="D880" s="6"/>
      <c r="E880" s="6"/>
    </row>
    <row r="881" spans="3:5" ht="13" x14ac:dyDescent="0.6">
      <c r="C881" s="6"/>
      <c r="D881" s="6"/>
      <c r="E881" s="6"/>
    </row>
    <row r="882" spans="3:5" ht="13" x14ac:dyDescent="0.6">
      <c r="C882" s="6"/>
      <c r="D882" s="6"/>
      <c r="E882" s="6"/>
    </row>
    <row r="883" spans="3:5" ht="13" x14ac:dyDescent="0.6">
      <c r="C883" s="6"/>
      <c r="D883" s="6"/>
      <c r="E883" s="6"/>
    </row>
    <row r="884" spans="3:5" ht="13" x14ac:dyDescent="0.6">
      <c r="C884" s="6"/>
      <c r="D884" s="6"/>
      <c r="E884" s="6"/>
    </row>
    <row r="885" spans="3:5" ht="13" x14ac:dyDescent="0.6">
      <c r="C885" s="6"/>
      <c r="D885" s="6"/>
      <c r="E885" s="6"/>
    </row>
    <row r="886" spans="3:5" ht="13" x14ac:dyDescent="0.6">
      <c r="C886" s="6"/>
      <c r="D886" s="6"/>
      <c r="E886" s="6"/>
    </row>
    <row r="887" spans="3:5" ht="13" x14ac:dyDescent="0.6">
      <c r="C887" s="6"/>
      <c r="D887" s="6"/>
      <c r="E887" s="6"/>
    </row>
    <row r="888" spans="3:5" ht="13" x14ac:dyDescent="0.6">
      <c r="C888" s="6"/>
      <c r="D888" s="6"/>
      <c r="E888" s="6"/>
    </row>
    <row r="889" spans="3:5" ht="13" x14ac:dyDescent="0.6">
      <c r="C889" s="6"/>
      <c r="D889" s="6"/>
      <c r="E889" s="6"/>
    </row>
    <row r="890" spans="3:5" ht="13" x14ac:dyDescent="0.6">
      <c r="C890" s="6"/>
      <c r="D890" s="6"/>
      <c r="E890" s="6"/>
    </row>
    <row r="891" spans="3:5" ht="13" x14ac:dyDescent="0.6">
      <c r="C891" s="6"/>
      <c r="D891" s="6"/>
      <c r="E891" s="6"/>
    </row>
    <row r="892" spans="3:5" ht="13" x14ac:dyDescent="0.6">
      <c r="C892" s="6"/>
      <c r="D892" s="6"/>
      <c r="E892" s="6"/>
    </row>
    <row r="893" spans="3:5" ht="13" x14ac:dyDescent="0.6">
      <c r="C893" s="6"/>
      <c r="D893" s="6"/>
      <c r="E893" s="6"/>
    </row>
    <row r="894" spans="3:5" ht="13" x14ac:dyDescent="0.6">
      <c r="C894" s="6"/>
      <c r="D894" s="6"/>
      <c r="E894" s="6"/>
    </row>
    <row r="895" spans="3:5" ht="13" x14ac:dyDescent="0.6">
      <c r="C895" s="6"/>
      <c r="D895" s="6"/>
      <c r="E895" s="6"/>
    </row>
    <row r="896" spans="3:5" ht="13" x14ac:dyDescent="0.6">
      <c r="C896" s="6"/>
      <c r="D896" s="6"/>
      <c r="E896" s="6"/>
    </row>
    <row r="897" spans="3:5" ht="13" x14ac:dyDescent="0.6">
      <c r="C897" s="6"/>
      <c r="D897" s="6"/>
      <c r="E897" s="6"/>
    </row>
    <row r="898" spans="3:5" ht="13" x14ac:dyDescent="0.6">
      <c r="C898" s="6"/>
      <c r="D898" s="6"/>
      <c r="E898" s="6"/>
    </row>
    <row r="899" spans="3:5" ht="13" x14ac:dyDescent="0.6">
      <c r="C899" s="6"/>
      <c r="D899" s="6"/>
      <c r="E899" s="6"/>
    </row>
    <row r="900" spans="3:5" ht="13" x14ac:dyDescent="0.6">
      <c r="C900" s="6"/>
      <c r="D900" s="6"/>
      <c r="E900" s="6"/>
    </row>
    <row r="901" spans="3:5" ht="13" x14ac:dyDescent="0.6">
      <c r="C901" s="6"/>
      <c r="D901" s="6"/>
      <c r="E901" s="6"/>
    </row>
    <row r="902" spans="3:5" ht="13" x14ac:dyDescent="0.6">
      <c r="C902" s="6"/>
      <c r="D902" s="6"/>
      <c r="E902" s="6"/>
    </row>
    <row r="903" spans="3:5" ht="13" x14ac:dyDescent="0.6">
      <c r="C903" s="6"/>
      <c r="D903" s="6"/>
      <c r="E903" s="6"/>
    </row>
    <row r="904" spans="3:5" ht="13" x14ac:dyDescent="0.6">
      <c r="C904" s="6"/>
      <c r="D904" s="6"/>
      <c r="E904" s="6"/>
    </row>
    <row r="905" spans="3:5" ht="13" x14ac:dyDescent="0.6">
      <c r="C905" s="6"/>
      <c r="D905" s="6"/>
      <c r="E905" s="6"/>
    </row>
    <row r="906" spans="3:5" ht="13" x14ac:dyDescent="0.6">
      <c r="C906" s="6"/>
      <c r="D906" s="6"/>
      <c r="E906" s="6"/>
    </row>
    <row r="907" spans="3:5" ht="13" x14ac:dyDescent="0.6">
      <c r="C907" s="6"/>
      <c r="D907" s="6"/>
      <c r="E907" s="6"/>
    </row>
    <row r="908" spans="3:5" ht="13" x14ac:dyDescent="0.6">
      <c r="C908" s="6"/>
      <c r="D908" s="6"/>
      <c r="E908" s="6"/>
    </row>
    <row r="909" spans="3:5" ht="13" x14ac:dyDescent="0.6">
      <c r="C909" s="6"/>
      <c r="D909" s="6"/>
      <c r="E909" s="6"/>
    </row>
    <row r="910" spans="3:5" ht="13" x14ac:dyDescent="0.6">
      <c r="C910" s="6"/>
      <c r="D910" s="6"/>
      <c r="E910" s="6"/>
    </row>
    <row r="911" spans="3:5" ht="13" x14ac:dyDescent="0.6">
      <c r="C911" s="6"/>
      <c r="D911" s="6"/>
      <c r="E911" s="6"/>
    </row>
    <row r="912" spans="3:5" ht="13" x14ac:dyDescent="0.6">
      <c r="C912" s="6"/>
      <c r="D912" s="6"/>
      <c r="E912" s="6"/>
    </row>
    <row r="913" spans="3:5" ht="13" x14ac:dyDescent="0.6">
      <c r="C913" s="6"/>
      <c r="D913" s="6"/>
      <c r="E913" s="6"/>
    </row>
    <row r="914" spans="3:5" ht="13" x14ac:dyDescent="0.6">
      <c r="C914" s="6"/>
      <c r="D914" s="6"/>
      <c r="E914" s="6"/>
    </row>
    <row r="915" spans="3:5" ht="13" x14ac:dyDescent="0.6">
      <c r="C915" s="6"/>
      <c r="D915" s="6"/>
      <c r="E915" s="6"/>
    </row>
    <row r="916" spans="3:5" ht="13" x14ac:dyDescent="0.6">
      <c r="C916" s="6"/>
      <c r="D916" s="6"/>
      <c r="E916" s="6"/>
    </row>
    <row r="917" spans="3:5" ht="13" x14ac:dyDescent="0.6">
      <c r="C917" s="6"/>
      <c r="D917" s="6"/>
      <c r="E917" s="6"/>
    </row>
    <row r="918" spans="3:5" ht="13" x14ac:dyDescent="0.6">
      <c r="C918" s="6"/>
      <c r="D918" s="6"/>
      <c r="E918" s="6"/>
    </row>
    <row r="919" spans="3:5" ht="13" x14ac:dyDescent="0.6">
      <c r="C919" s="6"/>
      <c r="D919" s="6"/>
      <c r="E919" s="6"/>
    </row>
    <row r="920" spans="3:5" ht="13" x14ac:dyDescent="0.6">
      <c r="C920" s="6"/>
      <c r="D920" s="6"/>
      <c r="E920" s="6"/>
    </row>
    <row r="921" spans="3:5" ht="13" x14ac:dyDescent="0.6">
      <c r="C921" s="6"/>
      <c r="D921" s="6"/>
      <c r="E921" s="6"/>
    </row>
    <row r="922" spans="3:5" ht="13" x14ac:dyDescent="0.6">
      <c r="C922" s="6"/>
      <c r="D922" s="6"/>
      <c r="E922" s="6"/>
    </row>
    <row r="923" spans="3:5" ht="13" x14ac:dyDescent="0.6">
      <c r="C923" s="6"/>
      <c r="D923" s="6"/>
      <c r="E923" s="6"/>
    </row>
    <row r="924" spans="3:5" ht="13" x14ac:dyDescent="0.6">
      <c r="C924" s="6"/>
      <c r="D924" s="6"/>
      <c r="E924" s="6"/>
    </row>
    <row r="925" spans="3:5" ht="13" x14ac:dyDescent="0.6">
      <c r="C925" s="6"/>
      <c r="D925" s="6"/>
      <c r="E925" s="6"/>
    </row>
    <row r="926" spans="3:5" ht="13" x14ac:dyDescent="0.6">
      <c r="C926" s="6"/>
      <c r="D926" s="6"/>
      <c r="E926" s="6"/>
    </row>
    <row r="927" spans="3:5" ht="13" x14ac:dyDescent="0.6">
      <c r="C927" s="6"/>
      <c r="D927" s="6"/>
      <c r="E927" s="6"/>
    </row>
    <row r="928" spans="3:5" ht="13" x14ac:dyDescent="0.6">
      <c r="C928" s="6"/>
      <c r="D928" s="6"/>
      <c r="E928" s="6"/>
    </row>
    <row r="929" spans="3:5" ht="13" x14ac:dyDescent="0.6">
      <c r="C929" s="6"/>
      <c r="D929" s="6"/>
      <c r="E929" s="6"/>
    </row>
    <row r="930" spans="3:5" ht="13" x14ac:dyDescent="0.6">
      <c r="C930" s="6"/>
      <c r="D930" s="6"/>
      <c r="E930" s="6"/>
    </row>
    <row r="931" spans="3:5" ht="13" x14ac:dyDescent="0.6">
      <c r="C931" s="6"/>
      <c r="D931" s="6"/>
      <c r="E931" s="6"/>
    </row>
    <row r="932" spans="3:5" ht="13" x14ac:dyDescent="0.6">
      <c r="C932" s="6"/>
      <c r="D932" s="6"/>
      <c r="E932" s="6"/>
    </row>
    <row r="933" spans="3:5" ht="13" x14ac:dyDescent="0.6">
      <c r="C933" s="6"/>
      <c r="D933" s="6"/>
      <c r="E933" s="6"/>
    </row>
    <row r="934" spans="3:5" ht="13" x14ac:dyDescent="0.6">
      <c r="C934" s="6"/>
      <c r="D934" s="6"/>
      <c r="E934" s="6"/>
    </row>
    <row r="935" spans="3:5" ht="13" x14ac:dyDescent="0.6">
      <c r="C935" s="6"/>
      <c r="D935" s="6"/>
      <c r="E935" s="6"/>
    </row>
    <row r="936" spans="3:5" ht="13" x14ac:dyDescent="0.6">
      <c r="C936" s="6"/>
      <c r="D936" s="6"/>
      <c r="E936" s="6"/>
    </row>
    <row r="937" spans="3:5" ht="13" x14ac:dyDescent="0.6">
      <c r="C937" s="6"/>
      <c r="D937" s="6"/>
      <c r="E937" s="6"/>
    </row>
    <row r="938" spans="3:5" ht="13" x14ac:dyDescent="0.6">
      <c r="C938" s="6"/>
      <c r="D938" s="6"/>
      <c r="E938" s="6"/>
    </row>
    <row r="939" spans="3:5" ht="13" x14ac:dyDescent="0.6">
      <c r="C939" s="6"/>
      <c r="D939" s="6"/>
      <c r="E939" s="6"/>
    </row>
    <row r="940" spans="3:5" ht="13" x14ac:dyDescent="0.6">
      <c r="C940" s="6"/>
      <c r="D940" s="6"/>
      <c r="E940" s="6"/>
    </row>
    <row r="941" spans="3:5" ht="13" x14ac:dyDescent="0.6">
      <c r="C941" s="6"/>
      <c r="D941" s="6"/>
      <c r="E941" s="6"/>
    </row>
    <row r="942" spans="3:5" ht="13" x14ac:dyDescent="0.6">
      <c r="C942" s="6"/>
      <c r="D942" s="6"/>
      <c r="E942" s="6"/>
    </row>
    <row r="943" spans="3:5" ht="13" x14ac:dyDescent="0.6">
      <c r="C943" s="6"/>
      <c r="D943" s="6"/>
      <c r="E943" s="6"/>
    </row>
    <row r="944" spans="3:5" ht="13" x14ac:dyDescent="0.6">
      <c r="C944" s="6"/>
      <c r="D944" s="6"/>
      <c r="E944" s="6"/>
    </row>
    <row r="945" spans="3:5" ht="13" x14ac:dyDescent="0.6">
      <c r="C945" s="6"/>
      <c r="D945" s="6"/>
      <c r="E945" s="6"/>
    </row>
    <row r="946" spans="3:5" ht="13" x14ac:dyDescent="0.6">
      <c r="C946" s="6"/>
      <c r="D946" s="6"/>
      <c r="E946" s="6"/>
    </row>
    <row r="947" spans="3:5" ht="13" x14ac:dyDescent="0.6">
      <c r="C947" s="6"/>
      <c r="D947" s="6"/>
      <c r="E947" s="6"/>
    </row>
    <row r="948" spans="3:5" ht="13" x14ac:dyDescent="0.6">
      <c r="C948" s="6"/>
      <c r="D948" s="6"/>
      <c r="E948" s="6"/>
    </row>
    <row r="949" spans="3:5" ht="13" x14ac:dyDescent="0.6">
      <c r="C949" s="6"/>
      <c r="D949" s="6"/>
      <c r="E949" s="6"/>
    </row>
    <row r="950" spans="3:5" ht="13" x14ac:dyDescent="0.6">
      <c r="C950" s="6"/>
      <c r="D950" s="6"/>
      <c r="E950" s="6"/>
    </row>
    <row r="951" spans="3:5" ht="13" x14ac:dyDescent="0.6">
      <c r="C951" s="6"/>
      <c r="D951" s="6"/>
      <c r="E951" s="6"/>
    </row>
    <row r="952" spans="3:5" ht="13" x14ac:dyDescent="0.6">
      <c r="C952" s="6"/>
      <c r="D952" s="6"/>
      <c r="E952" s="6"/>
    </row>
    <row r="953" spans="3:5" ht="13" x14ac:dyDescent="0.6">
      <c r="C953" s="6"/>
      <c r="D953" s="6"/>
      <c r="E953" s="6"/>
    </row>
    <row r="954" spans="3:5" ht="13" x14ac:dyDescent="0.6">
      <c r="C954" s="6"/>
      <c r="D954" s="6"/>
      <c r="E954" s="6"/>
    </row>
    <row r="955" spans="3:5" ht="13" x14ac:dyDescent="0.6">
      <c r="C955" s="6"/>
      <c r="D955" s="6"/>
      <c r="E955" s="6"/>
    </row>
    <row r="956" spans="3:5" ht="13" x14ac:dyDescent="0.6">
      <c r="C956" s="6"/>
      <c r="D956" s="6"/>
      <c r="E956" s="6"/>
    </row>
    <row r="957" spans="3:5" ht="13" x14ac:dyDescent="0.6">
      <c r="C957" s="6"/>
      <c r="D957" s="6"/>
      <c r="E957" s="6"/>
    </row>
    <row r="958" spans="3:5" ht="13" x14ac:dyDescent="0.6">
      <c r="C958" s="6"/>
      <c r="D958" s="6"/>
      <c r="E958" s="6"/>
    </row>
    <row r="959" spans="3:5" ht="13" x14ac:dyDescent="0.6">
      <c r="C959" s="6"/>
      <c r="D959" s="6"/>
      <c r="E959" s="6"/>
    </row>
    <row r="960" spans="3:5" ht="13" x14ac:dyDescent="0.6">
      <c r="C960" s="6"/>
      <c r="D960" s="6"/>
      <c r="E960" s="6"/>
    </row>
    <row r="961" spans="3:5" ht="13" x14ac:dyDescent="0.6">
      <c r="C961" s="6"/>
      <c r="D961" s="6"/>
      <c r="E961" s="6"/>
    </row>
    <row r="962" spans="3:5" ht="13" x14ac:dyDescent="0.6">
      <c r="C962" s="6"/>
      <c r="D962" s="6"/>
      <c r="E962" s="6"/>
    </row>
    <row r="963" spans="3:5" ht="13" x14ac:dyDescent="0.6">
      <c r="C963" s="6"/>
      <c r="D963" s="6"/>
      <c r="E963" s="6"/>
    </row>
    <row r="964" spans="3:5" ht="13" x14ac:dyDescent="0.6">
      <c r="C964" s="6"/>
      <c r="D964" s="6"/>
      <c r="E964" s="6"/>
    </row>
    <row r="965" spans="3:5" ht="13" x14ac:dyDescent="0.6">
      <c r="C965" s="6"/>
      <c r="D965" s="6"/>
      <c r="E965" s="6"/>
    </row>
    <row r="966" spans="3:5" ht="13" x14ac:dyDescent="0.6">
      <c r="C966" s="6"/>
      <c r="D966" s="6"/>
      <c r="E966" s="6"/>
    </row>
    <row r="967" spans="3:5" ht="13" x14ac:dyDescent="0.6">
      <c r="C967" s="6"/>
      <c r="D967" s="6"/>
      <c r="E967" s="6"/>
    </row>
    <row r="968" spans="3:5" ht="13" x14ac:dyDescent="0.6">
      <c r="C968" s="6"/>
      <c r="D968" s="6"/>
      <c r="E968" s="6"/>
    </row>
    <row r="969" spans="3:5" ht="13" x14ac:dyDescent="0.6">
      <c r="C969" s="6"/>
      <c r="D969" s="6"/>
      <c r="E969" s="6"/>
    </row>
    <row r="970" spans="3:5" ht="13" x14ac:dyDescent="0.6">
      <c r="C970" s="6"/>
      <c r="D970" s="6"/>
      <c r="E970" s="6"/>
    </row>
    <row r="971" spans="3:5" ht="13" x14ac:dyDescent="0.6">
      <c r="C971" s="6"/>
      <c r="D971" s="6"/>
      <c r="E971" s="6"/>
    </row>
    <row r="972" spans="3:5" ht="13" x14ac:dyDescent="0.6">
      <c r="C972" s="6"/>
      <c r="D972" s="6"/>
      <c r="E972" s="6"/>
    </row>
    <row r="973" spans="3:5" ht="13" x14ac:dyDescent="0.6">
      <c r="C973" s="6"/>
      <c r="D973" s="6"/>
      <c r="E973" s="6"/>
    </row>
    <row r="974" spans="3:5" ht="13" x14ac:dyDescent="0.6">
      <c r="C974" s="6"/>
      <c r="D974" s="6"/>
      <c r="E974" s="6"/>
    </row>
    <row r="975" spans="3:5" ht="13" x14ac:dyDescent="0.6">
      <c r="C975" s="6"/>
      <c r="D975" s="6"/>
      <c r="E975" s="6"/>
    </row>
    <row r="976" spans="3:5" ht="13" x14ac:dyDescent="0.6">
      <c r="C976" s="6"/>
      <c r="D976" s="6"/>
      <c r="E976" s="6"/>
    </row>
    <row r="977" spans="3:5" ht="13" x14ac:dyDescent="0.6">
      <c r="C977" s="6"/>
      <c r="D977" s="6"/>
      <c r="E977" s="6"/>
    </row>
    <row r="978" spans="3:5" ht="13" x14ac:dyDescent="0.6">
      <c r="C978" s="6"/>
      <c r="D978" s="6"/>
      <c r="E978" s="6"/>
    </row>
    <row r="979" spans="3:5" ht="13" x14ac:dyDescent="0.6">
      <c r="C979" s="6"/>
      <c r="D979" s="6"/>
      <c r="E979" s="6"/>
    </row>
    <row r="980" spans="3:5" ht="13" x14ac:dyDescent="0.6">
      <c r="C980" s="6"/>
      <c r="D980" s="6"/>
      <c r="E980" s="6"/>
    </row>
    <row r="981" spans="3:5" ht="13" x14ac:dyDescent="0.6">
      <c r="C981" s="6"/>
      <c r="D981" s="6"/>
      <c r="E981" s="6"/>
    </row>
    <row r="982" spans="3:5" ht="13" x14ac:dyDescent="0.6">
      <c r="C982" s="6"/>
      <c r="D982" s="6"/>
      <c r="E982" s="6"/>
    </row>
    <row r="983" spans="3:5" ht="13" x14ac:dyDescent="0.6">
      <c r="C983" s="6"/>
      <c r="D983" s="6"/>
      <c r="E983" s="6"/>
    </row>
    <row r="984" spans="3:5" ht="13" x14ac:dyDescent="0.6">
      <c r="C984" s="6"/>
      <c r="D984" s="6"/>
      <c r="E984" s="6"/>
    </row>
    <row r="985" spans="3:5" ht="13" x14ac:dyDescent="0.6">
      <c r="C985" s="6"/>
      <c r="D985" s="6"/>
      <c r="E985" s="6"/>
    </row>
    <row r="986" spans="3:5" ht="13" x14ac:dyDescent="0.6">
      <c r="C986" s="6"/>
      <c r="D986" s="6"/>
      <c r="E98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E986"/>
  <sheetViews>
    <sheetView workbookViewId="0"/>
  </sheetViews>
  <sheetFormatPr defaultColWidth="12.6328125" defaultRowHeight="15" customHeight="1" x14ac:dyDescent="0.6"/>
  <sheetData>
    <row r="1" spans="1:5" ht="33.75" customHeight="1" x14ac:dyDescent="0.6">
      <c r="A1" s="1">
        <v>2025</v>
      </c>
      <c r="B1" s="2"/>
      <c r="C1" s="3"/>
      <c r="D1" s="3"/>
      <c r="E1" s="3"/>
    </row>
    <row r="2" spans="1:5" ht="13" x14ac:dyDescent="0.6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</row>
    <row r="3" spans="1:5" ht="13" x14ac:dyDescent="0.6">
      <c r="A3" s="4" t="s">
        <v>5</v>
      </c>
      <c r="B3" s="5" t="s">
        <v>11</v>
      </c>
      <c r="C3" s="6">
        <v>44272</v>
      </c>
      <c r="D3" s="6">
        <v>153000</v>
      </c>
      <c r="E3" s="6">
        <v>33449</v>
      </c>
    </row>
    <row r="4" spans="1:5" ht="13" x14ac:dyDescent="0.6">
      <c r="A4" s="4"/>
      <c r="B4" s="5" t="s">
        <v>12</v>
      </c>
      <c r="C4" s="6"/>
      <c r="D4" s="6"/>
      <c r="E4" s="6"/>
    </row>
    <row r="5" spans="1:5" ht="13" x14ac:dyDescent="0.6">
      <c r="A5" s="4" t="s">
        <v>7</v>
      </c>
      <c r="B5" s="5" t="s">
        <v>11</v>
      </c>
      <c r="C5" s="6">
        <v>42120</v>
      </c>
      <c r="D5" s="6">
        <v>154317</v>
      </c>
      <c r="E5" s="6">
        <v>32712</v>
      </c>
    </row>
    <row r="6" spans="1:5" ht="13" x14ac:dyDescent="0.6">
      <c r="A6" s="4"/>
      <c r="B6" s="5" t="s">
        <v>12</v>
      </c>
      <c r="C6" s="6"/>
      <c r="D6" s="6"/>
      <c r="E6" s="6"/>
    </row>
    <row r="7" spans="1:5" ht="13" x14ac:dyDescent="0.6">
      <c r="A7" s="4" t="s">
        <v>8</v>
      </c>
      <c r="B7" s="5" t="s">
        <v>11</v>
      </c>
      <c r="C7" s="6">
        <v>43260</v>
      </c>
      <c r="D7" s="6">
        <v>154482</v>
      </c>
      <c r="E7" s="6">
        <v>33498</v>
      </c>
    </row>
    <row r="8" spans="1:5" ht="13" x14ac:dyDescent="0.6">
      <c r="A8" s="4"/>
      <c r="B8" s="5" t="s">
        <v>12</v>
      </c>
      <c r="C8" s="6"/>
      <c r="D8" s="6"/>
      <c r="E8" s="6"/>
    </row>
    <row r="9" spans="1:5" ht="13" x14ac:dyDescent="0.6">
      <c r="A9" s="4" t="s">
        <v>9</v>
      </c>
      <c r="B9" s="5" t="s">
        <v>11</v>
      </c>
      <c r="C9" s="6">
        <v>42667</v>
      </c>
      <c r="D9" s="6">
        <v>154250</v>
      </c>
      <c r="E9" s="6">
        <v>32811</v>
      </c>
    </row>
    <row r="10" spans="1:5" ht="13" x14ac:dyDescent="0.6">
      <c r="A10" s="4"/>
      <c r="B10" s="5" t="s">
        <v>12</v>
      </c>
      <c r="C10" s="6"/>
      <c r="D10" s="6"/>
      <c r="E10" s="6"/>
    </row>
    <row r="11" spans="1:5" ht="13" x14ac:dyDescent="0.6">
      <c r="A11" s="4" t="s">
        <v>10</v>
      </c>
      <c r="B11" s="5" t="s">
        <v>11</v>
      </c>
      <c r="C11" s="6">
        <v>42333</v>
      </c>
      <c r="D11" s="6">
        <v>154000</v>
      </c>
      <c r="E11" s="6">
        <v>32414</v>
      </c>
    </row>
    <row r="12" spans="1:5" ht="13" x14ac:dyDescent="0.6">
      <c r="A12" s="4"/>
      <c r="B12" s="5" t="s">
        <v>12</v>
      </c>
      <c r="C12" s="6"/>
      <c r="D12" s="6"/>
      <c r="E12" s="6"/>
    </row>
    <row r="13" spans="1:5" ht="13" x14ac:dyDescent="0.6">
      <c r="A13" s="4" t="s">
        <v>13</v>
      </c>
      <c r="B13" s="5" t="s">
        <v>11</v>
      </c>
      <c r="C13" s="6">
        <v>41226</v>
      </c>
      <c r="D13" s="6">
        <v>154222</v>
      </c>
      <c r="E13" s="6">
        <v>32651</v>
      </c>
    </row>
    <row r="14" spans="1:5" ht="13" x14ac:dyDescent="0.6">
      <c r="A14" s="4"/>
      <c r="B14" s="5" t="s">
        <v>12</v>
      </c>
      <c r="C14" s="6"/>
      <c r="D14" s="6"/>
      <c r="E14" s="6"/>
    </row>
    <row r="15" spans="1:5" ht="13" x14ac:dyDescent="0.6">
      <c r="A15" s="4" t="s">
        <v>14</v>
      </c>
      <c r="B15" s="5" t="s">
        <v>11</v>
      </c>
      <c r="C15" s="6">
        <v>41803</v>
      </c>
      <c r="D15" s="6">
        <v>154000</v>
      </c>
      <c r="E15" s="6">
        <v>34107</v>
      </c>
    </row>
    <row r="16" spans="1:5" ht="13" x14ac:dyDescent="0.6">
      <c r="A16" s="4"/>
      <c r="B16" s="5" t="s">
        <v>12</v>
      </c>
      <c r="C16" s="6"/>
      <c r="D16" s="6"/>
      <c r="E16" s="6"/>
    </row>
    <row r="17" spans="1:5" ht="13" x14ac:dyDescent="0.6">
      <c r="A17" s="4" t="s">
        <v>20</v>
      </c>
      <c r="B17" s="5" t="s">
        <v>11</v>
      </c>
      <c r="C17" s="6">
        <v>40807</v>
      </c>
      <c r="D17" s="6">
        <v>154000</v>
      </c>
      <c r="E17" s="6">
        <v>34446</v>
      </c>
    </row>
    <row r="18" spans="1:5" ht="13" x14ac:dyDescent="0.6">
      <c r="A18" s="4"/>
      <c r="B18" s="5" t="s">
        <v>12</v>
      </c>
      <c r="C18" s="6"/>
      <c r="D18" s="6"/>
      <c r="E18" s="6"/>
    </row>
    <row r="19" spans="1:5" ht="13" x14ac:dyDescent="0.6">
      <c r="A19" s="4" t="s">
        <v>21</v>
      </c>
      <c r="B19" s="5" t="s">
        <v>11</v>
      </c>
      <c r="C19" s="6">
        <v>41662</v>
      </c>
      <c r="D19" s="6">
        <v>154000</v>
      </c>
      <c r="E19" s="6">
        <v>33291</v>
      </c>
    </row>
    <row r="20" spans="1:5" ht="13" x14ac:dyDescent="0.6">
      <c r="A20" s="4"/>
      <c r="B20" s="5" t="s">
        <v>12</v>
      </c>
      <c r="C20" s="6"/>
      <c r="D20" s="6"/>
      <c r="E20" s="6"/>
    </row>
    <row r="21" spans="1:5" ht="13" x14ac:dyDescent="0.6">
      <c r="A21" s="4" t="s">
        <v>22</v>
      </c>
      <c r="B21" s="5" t="s">
        <v>11</v>
      </c>
      <c r="C21" s="6">
        <v>44797</v>
      </c>
      <c r="D21" s="6">
        <v>154000</v>
      </c>
      <c r="E21" s="6">
        <v>33922</v>
      </c>
    </row>
    <row r="22" spans="1:5" ht="13" x14ac:dyDescent="0.6">
      <c r="A22" s="4"/>
      <c r="B22" s="5" t="s">
        <v>12</v>
      </c>
      <c r="C22" s="6"/>
      <c r="D22" s="6"/>
      <c r="E22" s="6"/>
    </row>
    <row r="23" spans="1:5" ht="13" x14ac:dyDescent="0.6">
      <c r="A23" s="4" t="s">
        <v>23</v>
      </c>
      <c r="B23" s="5" t="s">
        <v>11</v>
      </c>
      <c r="C23" s="6">
        <v>44103</v>
      </c>
      <c r="D23" s="6">
        <v>154000</v>
      </c>
      <c r="E23" s="6">
        <v>36103</v>
      </c>
    </row>
    <row r="24" spans="1:5" ht="13" x14ac:dyDescent="0.6">
      <c r="A24" s="4"/>
      <c r="B24" s="5" t="s">
        <v>12</v>
      </c>
      <c r="C24" s="6"/>
      <c r="D24" s="6"/>
      <c r="E24" s="6"/>
    </row>
    <row r="25" spans="1:5" ht="13" x14ac:dyDescent="0.6">
      <c r="A25" s="4" t="s">
        <v>24</v>
      </c>
      <c r="B25" s="5" t="s">
        <v>11</v>
      </c>
      <c r="C25" s="6">
        <v>43757</v>
      </c>
      <c r="D25" s="6">
        <v>154095</v>
      </c>
      <c r="E25" s="6">
        <v>36578</v>
      </c>
    </row>
    <row r="26" spans="1:5" ht="13" x14ac:dyDescent="0.6">
      <c r="A26" s="4"/>
      <c r="B26" s="5" t="s">
        <v>12</v>
      </c>
      <c r="C26" s="6"/>
      <c r="D26" s="6"/>
      <c r="E26" s="6"/>
    </row>
    <row r="27" spans="1:5" ht="13" x14ac:dyDescent="0.6">
      <c r="A27" s="4"/>
      <c r="B27" s="5"/>
      <c r="C27" s="6"/>
      <c r="D27" s="6"/>
      <c r="E27" s="6"/>
    </row>
    <row r="28" spans="1:5" ht="13" x14ac:dyDescent="0.6">
      <c r="A28" s="4"/>
      <c r="B28" s="5"/>
      <c r="C28" s="6"/>
      <c r="D28" s="6"/>
      <c r="E28" s="6"/>
    </row>
    <row r="29" spans="1:5" ht="13" x14ac:dyDescent="0.6">
      <c r="A29" s="4"/>
      <c r="B29" s="5"/>
      <c r="C29" s="6"/>
      <c r="D29" s="6"/>
      <c r="E29" s="6"/>
    </row>
    <row r="30" spans="1:5" ht="13" x14ac:dyDescent="0.6">
      <c r="A30" s="4"/>
      <c r="B30" s="5"/>
      <c r="C30" s="6"/>
      <c r="D30" s="6"/>
      <c r="E30" s="6"/>
    </row>
    <row r="31" spans="1:5" ht="13" x14ac:dyDescent="0.6">
      <c r="A31" s="4"/>
      <c r="B31" s="5"/>
      <c r="C31" s="6"/>
      <c r="D31" s="6"/>
      <c r="E31" s="6"/>
    </row>
    <row r="32" spans="1:5" ht="13" x14ac:dyDescent="0.6">
      <c r="A32" s="4"/>
      <c r="B32" s="5"/>
      <c r="C32" s="6"/>
      <c r="D32" s="6"/>
      <c r="E32" s="6"/>
    </row>
    <row r="33" spans="1:5" ht="13" x14ac:dyDescent="0.6">
      <c r="A33" s="4"/>
      <c r="B33" s="5"/>
      <c r="C33" s="6"/>
      <c r="D33" s="6"/>
      <c r="E33" s="6"/>
    </row>
    <row r="34" spans="1:5" ht="13" x14ac:dyDescent="0.6">
      <c r="A34" s="4"/>
      <c r="B34" s="5"/>
      <c r="C34" s="6"/>
      <c r="D34" s="6"/>
      <c r="E34" s="6"/>
    </row>
    <row r="35" spans="1:5" ht="13" x14ac:dyDescent="0.6">
      <c r="A35" s="4"/>
      <c r="B35" s="5"/>
      <c r="C35" s="6"/>
      <c r="D35" s="6"/>
      <c r="E35" s="6"/>
    </row>
    <row r="36" spans="1:5" ht="13" x14ac:dyDescent="0.6">
      <c r="A36" s="4"/>
      <c r="B36" s="5"/>
      <c r="C36" s="6"/>
      <c r="D36" s="6"/>
      <c r="E36" s="6"/>
    </row>
    <row r="37" spans="1:5" ht="13" x14ac:dyDescent="0.6">
      <c r="A37" s="4"/>
      <c r="B37" s="5"/>
      <c r="C37" s="6"/>
      <c r="D37" s="6"/>
      <c r="E37" s="6"/>
    </row>
    <row r="38" spans="1:5" ht="13" x14ac:dyDescent="0.6">
      <c r="C38" s="6"/>
      <c r="D38" s="6"/>
      <c r="E38" s="6"/>
    </row>
    <row r="39" spans="1:5" ht="13" x14ac:dyDescent="0.6">
      <c r="C39" s="6"/>
      <c r="D39" s="6"/>
      <c r="E39" s="6"/>
    </row>
    <row r="40" spans="1:5" ht="13" x14ac:dyDescent="0.6">
      <c r="C40" s="6"/>
      <c r="D40" s="6"/>
      <c r="E40" s="6"/>
    </row>
    <row r="41" spans="1:5" ht="13" x14ac:dyDescent="0.6">
      <c r="C41" s="6"/>
      <c r="D41" s="6"/>
      <c r="E41" s="6"/>
    </row>
    <row r="42" spans="1:5" ht="13" x14ac:dyDescent="0.6">
      <c r="C42" s="6"/>
      <c r="D42" s="6"/>
      <c r="E42" s="6"/>
    </row>
    <row r="43" spans="1:5" ht="13" x14ac:dyDescent="0.6">
      <c r="C43" s="6"/>
      <c r="D43" s="6"/>
      <c r="E43" s="6"/>
    </row>
    <row r="44" spans="1:5" ht="13" x14ac:dyDescent="0.6">
      <c r="C44" s="6"/>
      <c r="D44" s="6"/>
      <c r="E44" s="6"/>
    </row>
    <row r="45" spans="1:5" ht="13" x14ac:dyDescent="0.6">
      <c r="C45" s="6"/>
      <c r="D45" s="6"/>
      <c r="E45" s="6"/>
    </row>
    <row r="46" spans="1:5" ht="13" x14ac:dyDescent="0.6">
      <c r="C46" s="6"/>
      <c r="D46" s="6"/>
      <c r="E46" s="6"/>
    </row>
    <row r="47" spans="1:5" ht="13" x14ac:dyDescent="0.6">
      <c r="C47" s="6"/>
      <c r="D47" s="6"/>
      <c r="E47" s="6"/>
    </row>
    <row r="48" spans="1:5" ht="13" x14ac:dyDescent="0.6">
      <c r="C48" s="6"/>
      <c r="D48" s="6"/>
      <c r="E48" s="6"/>
    </row>
    <row r="49" spans="3:5" ht="13" x14ac:dyDescent="0.6">
      <c r="C49" s="6"/>
      <c r="D49" s="6"/>
      <c r="E49" s="6"/>
    </row>
    <row r="50" spans="3:5" ht="13" x14ac:dyDescent="0.6">
      <c r="C50" s="6"/>
      <c r="D50" s="6"/>
      <c r="E50" s="6"/>
    </row>
    <row r="51" spans="3:5" ht="13" x14ac:dyDescent="0.6">
      <c r="C51" s="6"/>
      <c r="D51" s="6"/>
      <c r="E51" s="6"/>
    </row>
    <row r="52" spans="3:5" ht="13" x14ac:dyDescent="0.6">
      <c r="C52" s="6"/>
      <c r="D52" s="6"/>
      <c r="E52" s="6"/>
    </row>
    <row r="53" spans="3:5" ht="13" x14ac:dyDescent="0.6">
      <c r="C53" s="6"/>
      <c r="D53" s="6"/>
      <c r="E53" s="6"/>
    </row>
    <row r="54" spans="3:5" ht="13" x14ac:dyDescent="0.6">
      <c r="C54" s="6"/>
      <c r="D54" s="6"/>
      <c r="E54" s="6"/>
    </row>
    <row r="55" spans="3:5" ht="13" x14ac:dyDescent="0.6">
      <c r="C55" s="6"/>
      <c r="D55" s="6"/>
      <c r="E55" s="6"/>
    </row>
    <row r="56" spans="3:5" ht="13" x14ac:dyDescent="0.6">
      <c r="C56" s="6"/>
      <c r="D56" s="6"/>
      <c r="E56" s="6"/>
    </row>
    <row r="57" spans="3:5" ht="13" x14ac:dyDescent="0.6">
      <c r="C57" s="6"/>
      <c r="D57" s="6"/>
      <c r="E57" s="6"/>
    </row>
    <row r="58" spans="3:5" ht="13" x14ac:dyDescent="0.6">
      <c r="C58" s="6"/>
      <c r="D58" s="6"/>
      <c r="E58" s="6"/>
    </row>
    <row r="59" spans="3:5" ht="13" x14ac:dyDescent="0.6">
      <c r="C59" s="6"/>
      <c r="D59" s="6"/>
      <c r="E59" s="6"/>
    </row>
    <row r="60" spans="3:5" ht="13" x14ac:dyDescent="0.6">
      <c r="C60" s="6"/>
      <c r="D60" s="6"/>
      <c r="E60" s="6"/>
    </row>
    <row r="61" spans="3:5" ht="13" x14ac:dyDescent="0.6">
      <c r="C61" s="6"/>
      <c r="D61" s="6"/>
      <c r="E61" s="6"/>
    </row>
    <row r="62" spans="3:5" ht="13" x14ac:dyDescent="0.6">
      <c r="C62" s="6"/>
      <c r="D62" s="6"/>
      <c r="E62" s="6"/>
    </row>
    <row r="63" spans="3:5" ht="13" x14ac:dyDescent="0.6">
      <c r="C63" s="6"/>
      <c r="D63" s="6"/>
      <c r="E63" s="6"/>
    </row>
    <row r="64" spans="3:5" ht="13" x14ac:dyDescent="0.6">
      <c r="C64" s="6"/>
      <c r="D64" s="6"/>
      <c r="E64" s="6"/>
    </row>
    <row r="65" spans="3:5" ht="13" x14ac:dyDescent="0.6">
      <c r="C65" s="6"/>
      <c r="D65" s="6"/>
      <c r="E65" s="6"/>
    </row>
    <row r="66" spans="3:5" ht="13" x14ac:dyDescent="0.6">
      <c r="C66" s="6"/>
      <c r="D66" s="6"/>
      <c r="E66" s="6"/>
    </row>
    <row r="67" spans="3:5" ht="13" x14ac:dyDescent="0.6">
      <c r="C67" s="6"/>
      <c r="D67" s="6"/>
      <c r="E67" s="6"/>
    </row>
    <row r="68" spans="3:5" ht="13" x14ac:dyDescent="0.6">
      <c r="C68" s="6"/>
      <c r="D68" s="6"/>
      <c r="E68" s="6"/>
    </row>
    <row r="69" spans="3:5" ht="13" x14ac:dyDescent="0.6">
      <c r="C69" s="6"/>
      <c r="D69" s="6"/>
      <c r="E69" s="6"/>
    </row>
    <row r="70" spans="3:5" ht="13" x14ac:dyDescent="0.6">
      <c r="C70" s="6"/>
      <c r="D70" s="6"/>
      <c r="E70" s="6"/>
    </row>
    <row r="71" spans="3:5" ht="13" x14ac:dyDescent="0.6">
      <c r="C71" s="6"/>
      <c r="D71" s="6"/>
      <c r="E71" s="6"/>
    </row>
    <row r="72" spans="3:5" ht="13" x14ac:dyDescent="0.6">
      <c r="C72" s="6"/>
      <c r="D72" s="6"/>
      <c r="E72" s="6"/>
    </row>
    <row r="73" spans="3:5" ht="13" x14ac:dyDescent="0.6">
      <c r="C73" s="6"/>
      <c r="D73" s="6"/>
      <c r="E73" s="6"/>
    </row>
    <row r="74" spans="3:5" ht="13" x14ac:dyDescent="0.6">
      <c r="C74" s="6"/>
      <c r="D74" s="6"/>
      <c r="E74" s="6"/>
    </row>
    <row r="75" spans="3:5" ht="13" x14ac:dyDescent="0.6">
      <c r="C75" s="6"/>
      <c r="D75" s="6"/>
      <c r="E75" s="6"/>
    </row>
    <row r="76" spans="3:5" ht="13" x14ac:dyDescent="0.6">
      <c r="C76" s="6"/>
      <c r="D76" s="6"/>
      <c r="E76" s="6"/>
    </row>
    <row r="77" spans="3:5" ht="13" x14ac:dyDescent="0.6">
      <c r="C77" s="6"/>
      <c r="D77" s="6"/>
      <c r="E77" s="6"/>
    </row>
    <row r="78" spans="3:5" ht="13" x14ac:dyDescent="0.6">
      <c r="C78" s="6"/>
      <c r="D78" s="6"/>
      <c r="E78" s="6"/>
    </row>
    <row r="79" spans="3:5" ht="13" x14ac:dyDescent="0.6">
      <c r="C79" s="6"/>
      <c r="D79" s="6"/>
      <c r="E79" s="6"/>
    </row>
    <row r="80" spans="3:5" ht="13" x14ac:dyDescent="0.6">
      <c r="C80" s="6"/>
      <c r="D80" s="6"/>
      <c r="E80" s="6"/>
    </row>
    <row r="81" spans="3:5" ht="13" x14ac:dyDescent="0.6">
      <c r="C81" s="6"/>
      <c r="D81" s="6"/>
      <c r="E81" s="6"/>
    </row>
    <row r="82" spans="3:5" ht="13" x14ac:dyDescent="0.6">
      <c r="C82" s="6"/>
      <c r="D82" s="6"/>
      <c r="E82" s="6"/>
    </row>
    <row r="83" spans="3:5" ht="13" x14ac:dyDescent="0.6">
      <c r="C83" s="6"/>
      <c r="D83" s="6"/>
      <c r="E83" s="6"/>
    </row>
    <row r="84" spans="3:5" ht="13" x14ac:dyDescent="0.6">
      <c r="C84" s="6"/>
      <c r="D84" s="6"/>
      <c r="E84" s="6"/>
    </row>
    <row r="85" spans="3:5" ht="13" x14ac:dyDescent="0.6">
      <c r="C85" s="6"/>
      <c r="D85" s="6"/>
      <c r="E85" s="6"/>
    </row>
    <row r="86" spans="3:5" ht="13" x14ac:dyDescent="0.6">
      <c r="C86" s="6"/>
      <c r="D86" s="6"/>
      <c r="E86" s="6"/>
    </row>
    <row r="87" spans="3:5" ht="13" x14ac:dyDescent="0.6">
      <c r="C87" s="6"/>
      <c r="D87" s="6"/>
      <c r="E87" s="6"/>
    </row>
    <row r="88" spans="3:5" ht="13" x14ac:dyDescent="0.6">
      <c r="C88" s="6"/>
      <c r="D88" s="6"/>
      <c r="E88" s="6"/>
    </row>
    <row r="89" spans="3:5" ht="13" x14ac:dyDescent="0.6">
      <c r="C89" s="6"/>
      <c r="D89" s="6"/>
      <c r="E89" s="6"/>
    </row>
    <row r="90" spans="3:5" ht="13" x14ac:dyDescent="0.6">
      <c r="C90" s="6"/>
      <c r="D90" s="6"/>
      <c r="E90" s="6"/>
    </row>
    <row r="91" spans="3:5" ht="13" x14ac:dyDescent="0.6">
      <c r="C91" s="6"/>
      <c r="D91" s="6"/>
      <c r="E91" s="6"/>
    </row>
    <row r="92" spans="3:5" ht="13" x14ac:dyDescent="0.6">
      <c r="C92" s="6"/>
      <c r="D92" s="6"/>
      <c r="E92" s="6"/>
    </row>
    <row r="93" spans="3:5" ht="13" x14ac:dyDescent="0.6">
      <c r="C93" s="6"/>
      <c r="D93" s="6"/>
      <c r="E93" s="6"/>
    </row>
    <row r="94" spans="3:5" ht="13" x14ac:dyDescent="0.6">
      <c r="C94" s="6"/>
      <c r="D94" s="6"/>
      <c r="E94" s="6"/>
    </row>
    <row r="95" spans="3:5" ht="13" x14ac:dyDescent="0.6">
      <c r="C95" s="6"/>
      <c r="D95" s="6"/>
      <c r="E95" s="6"/>
    </row>
    <row r="96" spans="3:5" ht="13" x14ac:dyDescent="0.6">
      <c r="C96" s="6"/>
      <c r="D96" s="6"/>
      <c r="E96" s="6"/>
    </row>
    <row r="97" spans="3:5" ht="13" x14ac:dyDescent="0.6">
      <c r="C97" s="6"/>
      <c r="D97" s="6"/>
      <c r="E97" s="6"/>
    </row>
    <row r="98" spans="3:5" ht="13" x14ac:dyDescent="0.6">
      <c r="C98" s="6"/>
      <c r="D98" s="6"/>
      <c r="E98" s="6"/>
    </row>
    <row r="99" spans="3:5" ht="13" x14ac:dyDescent="0.6">
      <c r="C99" s="6"/>
      <c r="D99" s="6"/>
      <c r="E99" s="6"/>
    </row>
    <row r="100" spans="3:5" ht="13" x14ac:dyDescent="0.6">
      <c r="C100" s="6"/>
      <c r="D100" s="6"/>
      <c r="E100" s="6"/>
    </row>
    <row r="101" spans="3:5" ht="13" x14ac:dyDescent="0.6">
      <c r="C101" s="6"/>
      <c r="D101" s="6"/>
      <c r="E101" s="6"/>
    </row>
    <row r="102" spans="3:5" ht="13" x14ac:dyDescent="0.6">
      <c r="C102" s="6"/>
      <c r="D102" s="6"/>
      <c r="E102" s="6"/>
    </row>
    <row r="103" spans="3:5" ht="13" x14ac:dyDescent="0.6">
      <c r="C103" s="6"/>
      <c r="D103" s="6"/>
      <c r="E103" s="6"/>
    </row>
    <row r="104" spans="3:5" ht="13" x14ac:dyDescent="0.6">
      <c r="C104" s="6"/>
      <c r="D104" s="6"/>
      <c r="E104" s="6"/>
    </row>
    <row r="105" spans="3:5" ht="13" x14ac:dyDescent="0.6">
      <c r="C105" s="6"/>
      <c r="D105" s="6"/>
      <c r="E105" s="6"/>
    </row>
    <row r="106" spans="3:5" ht="13" x14ac:dyDescent="0.6">
      <c r="C106" s="6"/>
      <c r="D106" s="6"/>
      <c r="E106" s="6"/>
    </row>
    <row r="107" spans="3:5" ht="13" x14ac:dyDescent="0.6">
      <c r="C107" s="6"/>
      <c r="D107" s="6"/>
      <c r="E107" s="6"/>
    </row>
    <row r="108" spans="3:5" ht="13" x14ac:dyDescent="0.6">
      <c r="C108" s="6"/>
      <c r="D108" s="6"/>
      <c r="E108" s="6"/>
    </row>
    <row r="109" spans="3:5" ht="13" x14ac:dyDescent="0.6">
      <c r="C109" s="6"/>
      <c r="D109" s="6"/>
      <c r="E109" s="6"/>
    </row>
    <row r="110" spans="3:5" ht="13" x14ac:dyDescent="0.6">
      <c r="C110" s="6"/>
      <c r="D110" s="6"/>
      <c r="E110" s="6"/>
    </row>
    <row r="111" spans="3:5" ht="13" x14ac:dyDescent="0.6">
      <c r="C111" s="6"/>
      <c r="D111" s="6"/>
      <c r="E111" s="6"/>
    </row>
    <row r="112" spans="3:5" ht="13" x14ac:dyDescent="0.6">
      <c r="C112" s="6"/>
      <c r="D112" s="6"/>
      <c r="E112" s="6"/>
    </row>
    <row r="113" spans="3:5" ht="13" x14ac:dyDescent="0.6">
      <c r="C113" s="6"/>
      <c r="D113" s="6"/>
      <c r="E113" s="6"/>
    </row>
    <row r="114" spans="3:5" ht="13" x14ac:dyDescent="0.6">
      <c r="C114" s="6"/>
      <c r="D114" s="6"/>
      <c r="E114" s="6"/>
    </row>
    <row r="115" spans="3:5" ht="13" x14ac:dyDescent="0.6">
      <c r="C115" s="6"/>
      <c r="D115" s="6"/>
      <c r="E115" s="6"/>
    </row>
    <row r="116" spans="3:5" ht="13" x14ac:dyDescent="0.6">
      <c r="C116" s="6"/>
      <c r="D116" s="6"/>
      <c r="E116" s="6"/>
    </row>
    <row r="117" spans="3:5" ht="13" x14ac:dyDescent="0.6">
      <c r="C117" s="6"/>
      <c r="D117" s="6"/>
      <c r="E117" s="6"/>
    </row>
    <row r="118" spans="3:5" ht="13" x14ac:dyDescent="0.6">
      <c r="C118" s="6"/>
      <c r="D118" s="6"/>
      <c r="E118" s="6"/>
    </row>
    <row r="119" spans="3:5" ht="13" x14ac:dyDescent="0.6">
      <c r="C119" s="6"/>
      <c r="D119" s="6"/>
      <c r="E119" s="6"/>
    </row>
    <row r="120" spans="3:5" ht="13" x14ac:dyDescent="0.6">
      <c r="C120" s="6"/>
      <c r="D120" s="6"/>
      <c r="E120" s="6"/>
    </row>
    <row r="121" spans="3:5" ht="13" x14ac:dyDescent="0.6">
      <c r="C121" s="6"/>
      <c r="D121" s="6"/>
      <c r="E121" s="6"/>
    </row>
    <row r="122" spans="3:5" ht="13" x14ac:dyDescent="0.6">
      <c r="C122" s="6"/>
      <c r="D122" s="6"/>
      <c r="E122" s="6"/>
    </row>
    <row r="123" spans="3:5" ht="13" x14ac:dyDescent="0.6">
      <c r="C123" s="6"/>
      <c r="D123" s="6"/>
      <c r="E123" s="6"/>
    </row>
    <row r="124" spans="3:5" ht="13" x14ac:dyDescent="0.6">
      <c r="C124" s="6"/>
      <c r="D124" s="6"/>
      <c r="E124" s="6"/>
    </row>
    <row r="125" spans="3:5" ht="13" x14ac:dyDescent="0.6">
      <c r="C125" s="6"/>
      <c r="D125" s="6"/>
      <c r="E125" s="6"/>
    </row>
    <row r="126" spans="3:5" ht="13" x14ac:dyDescent="0.6">
      <c r="C126" s="6"/>
      <c r="D126" s="6"/>
      <c r="E126" s="6"/>
    </row>
    <row r="127" spans="3:5" ht="13" x14ac:dyDescent="0.6">
      <c r="C127" s="6"/>
      <c r="D127" s="6"/>
      <c r="E127" s="6"/>
    </row>
    <row r="128" spans="3:5" ht="13" x14ac:dyDescent="0.6">
      <c r="C128" s="6"/>
      <c r="D128" s="6"/>
      <c r="E128" s="6"/>
    </row>
    <row r="129" spans="3:5" ht="13" x14ac:dyDescent="0.6">
      <c r="C129" s="6"/>
      <c r="D129" s="6"/>
      <c r="E129" s="6"/>
    </row>
    <row r="130" spans="3:5" ht="13" x14ac:dyDescent="0.6">
      <c r="C130" s="6"/>
      <c r="D130" s="6"/>
      <c r="E130" s="6"/>
    </row>
    <row r="131" spans="3:5" ht="13" x14ac:dyDescent="0.6">
      <c r="C131" s="6"/>
      <c r="D131" s="6"/>
      <c r="E131" s="6"/>
    </row>
    <row r="132" spans="3:5" ht="13" x14ac:dyDescent="0.6">
      <c r="C132" s="6"/>
      <c r="D132" s="6"/>
      <c r="E132" s="6"/>
    </row>
    <row r="133" spans="3:5" ht="13" x14ac:dyDescent="0.6">
      <c r="C133" s="6"/>
      <c r="D133" s="6"/>
      <c r="E133" s="6"/>
    </row>
    <row r="134" spans="3:5" ht="13" x14ac:dyDescent="0.6">
      <c r="C134" s="6"/>
      <c r="D134" s="6"/>
      <c r="E134" s="6"/>
    </row>
    <row r="135" spans="3:5" ht="13" x14ac:dyDescent="0.6">
      <c r="C135" s="6"/>
      <c r="D135" s="6"/>
      <c r="E135" s="6"/>
    </row>
    <row r="136" spans="3:5" ht="13" x14ac:dyDescent="0.6">
      <c r="C136" s="6"/>
      <c r="D136" s="6"/>
      <c r="E136" s="6"/>
    </row>
    <row r="137" spans="3:5" ht="13" x14ac:dyDescent="0.6">
      <c r="C137" s="6"/>
      <c r="D137" s="6"/>
      <c r="E137" s="6"/>
    </row>
    <row r="138" spans="3:5" ht="13" x14ac:dyDescent="0.6">
      <c r="C138" s="6"/>
      <c r="D138" s="6"/>
      <c r="E138" s="6"/>
    </row>
    <row r="139" spans="3:5" ht="13" x14ac:dyDescent="0.6">
      <c r="C139" s="6"/>
      <c r="D139" s="6"/>
      <c r="E139" s="6"/>
    </row>
    <row r="140" spans="3:5" ht="13" x14ac:dyDescent="0.6">
      <c r="C140" s="6"/>
      <c r="D140" s="6"/>
      <c r="E140" s="6"/>
    </row>
    <row r="141" spans="3:5" ht="13" x14ac:dyDescent="0.6">
      <c r="C141" s="6"/>
      <c r="D141" s="6"/>
      <c r="E141" s="6"/>
    </row>
    <row r="142" spans="3:5" ht="13" x14ac:dyDescent="0.6">
      <c r="C142" s="6"/>
      <c r="D142" s="6"/>
      <c r="E142" s="6"/>
    </row>
    <row r="143" spans="3:5" ht="13" x14ac:dyDescent="0.6">
      <c r="C143" s="6"/>
      <c r="D143" s="6"/>
      <c r="E143" s="6"/>
    </row>
    <row r="144" spans="3:5" ht="13" x14ac:dyDescent="0.6">
      <c r="C144" s="6"/>
      <c r="D144" s="6"/>
      <c r="E144" s="6"/>
    </row>
    <row r="145" spans="3:5" ht="13" x14ac:dyDescent="0.6">
      <c r="C145" s="6"/>
      <c r="D145" s="6"/>
      <c r="E145" s="6"/>
    </row>
    <row r="146" spans="3:5" ht="13" x14ac:dyDescent="0.6">
      <c r="C146" s="6"/>
      <c r="D146" s="6"/>
      <c r="E146" s="6"/>
    </row>
    <row r="147" spans="3:5" ht="13" x14ac:dyDescent="0.6">
      <c r="C147" s="6"/>
      <c r="D147" s="6"/>
      <c r="E147" s="6"/>
    </row>
    <row r="148" spans="3:5" ht="13" x14ac:dyDescent="0.6">
      <c r="C148" s="6"/>
      <c r="D148" s="6"/>
      <c r="E148" s="6"/>
    </row>
    <row r="149" spans="3:5" ht="13" x14ac:dyDescent="0.6">
      <c r="C149" s="6"/>
      <c r="D149" s="6"/>
      <c r="E149" s="6"/>
    </row>
    <row r="150" spans="3:5" ht="13" x14ac:dyDescent="0.6">
      <c r="C150" s="6"/>
      <c r="D150" s="6"/>
      <c r="E150" s="6"/>
    </row>
    <row r="151" spans="3:5" ht="13" x14ac:dyDescent="0.6">
      <c r="C151" s="6"/>
      <c r="D151" s="6"/>
      <c r="E151" s="6"/>
    </row>
    <row r="152" spans="3:5" ht="13" x14ac:dyDescent="0.6">
      <c r="C152" s="6"/>
      <c r="D152" s="6"/>
      <c r="E152" s="6"/>
    </row>
    <row r="153" spans="3:5" ht="13" x14ac:dyDescent="0.6">
      <c r="C153" s="6"/>
      <c r="D153" s="6"/>
      <c r="E153" s="6"/>
    </row>
    <row r="154" spans="3:5" ht="13" x14ac:dyDescent="0.6">
      <c r="C154" s="6"/>
      <c r="D154" s="6"/>
      <c r="E154" s="6"/>
    </row>
    <row r="155" spans="3:5" ht="13" x14ac:dyDescent="0.6">
      <c r="C155" s="6"/>
      <c r="D155" s="6"/>
      <c r="E155" s="6"/>
    </row>
    <row r="156" spans="3:5" ht="13" x14ac:dyDescent="0.6">
      <c r="C156" s="6"/>
      <c r="D156" s="6"/>
      <c r="E156" s="6"/>
    </row>
    <row r="157" spans="3:5" ht="13" x14ac:dyDescent="0.6">
      <c r="C157" s="6"/>
      <c r="D157" s="6"/>
      <c r="E157" s="6"/>
    </row>
    <row r="158" spans="3:5" ht="13" x14ac:dyDescent="0.6">
      <c r="C158" s="6"/>
      <c r="D158" s="6"/>
      <c r="E158" s="6"/>
    </row>
    <row r="159" spans="3:5" ht="13" x14ac:dyDescent="0.6">
      <c r="C159" s="6"/>
      <c r="D159" s="6"/>
      <c r="E159" s="6"/>
    </row>
    <row r="160" spans="3:5" ht="13" x14ac:dyDescent="0.6">
      <c r="C160" s="6"/>
      <c r="D160" s="6"/>
      <c r="E160" s="6"/>
    </row>
    <row r="161" spans="3:5" ht="13" x14ac:dyDescent="0.6">
      <c r="C161" s="6"/>
      <c r="D161" s="6"/>
      <c r="E161" s="6"/>
    </row>
    <row r="162" spans="3:5" ht="13" x14ac:dyDescent="0.6">
      <c r="C162" s="6"/>
      <c r="D162" s="6"/>
      <c r="E162" s="6"/>
    </row>
    <row r="163" spans="3:5" ht="13" x14ac:dyDescent="0.6">
      <c r="C163" s="6"/>
      <c r="D163" s="6"/>
      <c r="E163" s="6"/>
    </row>
    <row r="164" spans="3:5" ht="13" x14ac:dyDescent="0.6">
      <c r="C164" s="6"/>
      <c r="D164" s="6"/>
      <c r="E164" s="6"/>
    </row>
    <row r="165" spans="3:5" ht="13" x14ac:dyDescent="0.6">
      <c r="C165" s="6"/>
      <c r="D165" s="6"/>
      <c r="E165" s="6"/>
    </row>
    <row r="166" spans="3:5" ht="13" x14ac:dyDescent="0.6">
      <c r="C166" s="6"/>
      <c r="D166" s="6"/>
      <c r="E166" s="6"/>
    </row>
    <row r="167" spans="3:5" ht="13" x14ac:dyDescent="0.6">
      <c r="C167" s="6"/>
      <c r="D167" s="6"/>
      <c r="E167" s="6"/>
    </row>
    <row r="168" spans="3:5" ht="13" x14ac:dyDescent="0.6">
      <c r="C168" s="6"/>
      <c r="D168" s="6"/>
      <c r="E168" s="6"/>
    </row>
    <row r="169" spans="3:5" ht="13" x14ac:dyDescent="0.6">
      <c r="C169" s="6"/>
      <c r="D169" s="6"/>
      <c r="E169" s="6"/>
    </row>
    <row r="170" spans="3:5" ht="13" x14ac:dyDescent="0.6">
      <c r="C170" s="6"/>
      <c r="D170" s="6"/>
      <c r="E170" s="6"/>
    </row>
    <row r="171" spans="3:5" ht="13" x14ac:dyDescent="0.6">
      <c r="C171" s="6"/>
      <c r="D171" s="6"/>
      <c r="E171" s="6"/>
    </row>
    <row r="172" spans="3:5" ht="13" x14ac:dyDescent="0.6">
      <c r="C172" s="6"/>
      <c r="D172" s="6"/>
      <c r="E172" s="6"/>
    </row>
    <row r="173" spans="3:5" ht="13" x14ac:dyDescent="0.6">
      <c r="C173" s="6"/>
      <c r="D173" s="6"/>
      <c r="E173" s="6"/>
    </row>
    <row r="174" spans="3:5" ht="13" x14ac:dyDescent="0.6">
      <c r="C174" s="6"/>
      <c r="D174" s="6"/>
      <c r="E174" s="6"/>
    </row>
    <row r="175" spans="3:5" ht="13" x14ac:dyDescent="0.6">
      <c r="C175" s="6"/>
      <c r="D175" s="6"/>
      <c r="E175" s="6"/>
    </row>
    <row r="176" spans="3:5" ht="13" x14ac:dyDescent="0.6">
      <c r="C176" s="6"/>
      <c r="D176" s="6"/>
      <c r="E176" s="6"/>
    </row>
    <row r="177" spans="3:5" ht="13" x14ac:dyDescent="0.6">
      <c r="C177" s="6"/>
      <c r="D177" s="6"/>
      <c r="E177" s="6"/>
    </row>
    <row r="178" spans="3:5" ht="13" x14ac:dyDescent="0.6">
      <c r="C178" s="6"/>
      <c r="D178" s="6"/>
      <c r="E178" s="6"/>
    </row>
    <row r="179" spans="3:5" ht="13" x14ac:dyDescent="0.6">
      <c r="C179" s="6"/>
      <c r="D179" s="6"/>
      <c r="E179" s="6"/>
    </row>
    <row r="180" spans="3:5" ht="13" x14ac:dyDescent="0.6">
      <c r="C180" s="6"/>
      <c r="D180" s="6"/>
      <c r="E180" s="6"/>
    </row>
    <row r="181" spans="3:5" ht="13" x14ac:dyDescent="0.6">
      <c r="C181" s="6"/>
      <c r="D181" s="6"/>
      <c r="E181" s="6"/>
    </row>
    <row r="182" spans="3:5" ht="13" x14ac:dyDescent="0.6">
      <c r="C182" s="6"/>
      <c r="D182" s="6"/>
      <c r="E182" s="6"/>
    </row>
    <row r="183" spans="3:5" ht="13" x14ac:dyDescent="0.6">
      <c r="C183" s="6"/>
      <c r="D183" s="6"/>
      <c r="E183" s="6"/>
    </row>
    <row r="184" spans="3:5" ht="13" x14ac:dyDescent="0.6">
      <c r="C184" s="6"/>
      <c r="D184" s="6"/>
      <c r="E184" s="6"/>
    </row>
    <row r="185" spans="3:5" ht="13" x14ac:dyDescent="0.6">
      <c r="C185" s="6"/>
      <c r="D185" s="6"/>
      <c r="E185" s="6"/>
    </row>
    <row r="186" spans="3:5" ht="13" x14ac:dyDescent="0.6">
      <c r="C186" s="6"/>
      <c r="D186" s="6"/>
      <c r="E186" s="6"/>
    </row>
    <row r="187" spans="3:5" ht="13" x14ac:dyDescent="0.6">
      <c r="C187" s="6"/>
      <c r="D187" s="6"/>
      <c r="E187" s="6"/>
    </row>
    <row r="188" spans="3:5" ht="13" x14ac:dyDescent="0.6">
      <c r="C188" s="6"/>
      <c r="D188" s="6"/>
      <c r="E188" s="6"/>
    </row>
    <row r="189" spans="3:5" ht="13" x14ac:dyDescent="0.6">
      <c r="C189" s="6"/>
      <c r="D189" s="6"/>
      <c r="E189" s="6"/>
    </row>
    <row r="190" spans="3:5" ht="13" x14ac:dyDescent="0.6">
      <c r="C190" s="6"/>
      <c r="D190" s="6"/>
      <c r="E190" s="6"/>
    </row>
    <row r="191" spans="3:5" ht="13" x14ac:dyDescent="0.6">
      <c r="C191" s="6"/>
      <c r="D191" s="6"/>
      <c r="E191" s="6"/>
    </row>
    <row r="192" spans="3:5" ht="13" x14ac:dyDescent="0.6">
      <c r="C192" s="6"/>
      <c r="D192" s="6"/>
      <c r="E192" s="6"/>
    </row>
    <row r="193" spans="3:5" ht="13" x14ac:dyDescent="0.6">
      <c r="C193" s="6"/>
      <c r="D193" s="6"/>
      <c r="E193" s="6"/>
    </row>
    <row r="194" spans="3:5" ht="13" x14ac:dyDescent="0.6">
      <c r="C194" s="6"/>
      <c r="D194" s="6"/>
      <c r="E194" s="6"/>
    </row>
    <row r="195" spans="3:5" ht="13" x14ac:dyDescent="0.6">
      <c r="C195" s="6"/>
      <c r="D195" s="6"/>
      <c r="E195" s="6"/>
    </row>
    <row r="196" spans="3:5" ht="13" x14ac:dyDescent="0.6">
      <c r="C196" s="6"/>
      <c r="D196" s="6"/>
      <c r="E196" s="6"/>
    </row>
    <row r="197" spans="3:5" ht="13" x14ac:dyDescent="0.6">
      <c r="C197" s="6"/>
      <c r="D197" s="6"/>
      <c r="E197" s="6"/>
    </row>
    <row r="198" spans="3:5" ht="13" x14ac:dyDescent="0.6">
      <c r="C198" s="6"/>
      <c r="D198" s="6"/>
      <c r="E198" s="6"/>
    </row>
    <row r="199" spans="3:5" ht="13" x14ac:dyDescent="0.6">
      <c r="C199" s="6"/>
      <c r="D199" s="6"/>
      <c r="E199" s="6"/>
    </row>
    <row r="200" spans="3:5" ht="13" x14ac:dyDescent="0.6">
      <c r="C200" s="6"/>
      <c r="D200" s="6"/>
      <c r="E200" s="6"/>
    </row>
    <row r="201" spans="3:5" ht="13" x14ac:dyDescent="0.6">
      <c r="C201" s="6"/>
      <c r="D201" s="6"/>
      <c r="E201" s="6"/>
    </row>
    <row r="202" spans="3:5" ht="13" x14ac:dyDescent="0.6">
      <c r="C202" s="6"/>
      <c r="D202" s="6"/>
      <c r="E202" s="6"/>
    </row>
    <row r="203" spans="3:5" ht="13" x14ac:dyDescent="0.6">
      <c r="C203" s="6"/>
      <c r="D203" s="6"/>
      <c r="E203" s="6"/>
    </row>
    <row r="204" spans="3:5" ht="13" x14ac:dyDescent="0.6">
      <c r="C204" s="6"/>
      <c r="D204" s="6"/>
      <c r="E204" s="6"/>
    </row>
    <row r="205" spans="3:5" ht="13" x14ac:dyDescent="0.6">
      <c r="C205" s="6"/>
      <c r="D205" s="6"/>
      <c r="E205" s="6"/>
    </row>
    <row r="206" spans="3:5" ht="13" x14ac:dyDescent="0.6">
      <c r="C206" s="6"/>
      <c r="D206" s="6"/>
      <c r="E206" s="6"/>
    </row>
    <row r="207" spans="3:5" ht="13" x14ac:dyDescent="0.6">
      <c r="C207" s="6"/>
      <c r="D207" s="6"/>
      <c r="E207" s="6"/>
    </row>
    <row r="208" spans="3:5" ht="13" x14ac:dyDescent="0.6">
      <c r="C208" s="6"/>
      <c r="D208" s="6"/>
      <c r="E208" s="6"/>
    </row>
    <row r="209" spans="3:5" ht="13" x14ac:dyDescent="0.6">
      <c r="C209" s="6"/>
      <c r="D209" s="6"/>
      <c r="E209" s="6"/>
    </row>
    <row r="210" spans="3:5" ht="13" x14ac:dyDescent="0.6">
      <c r="C210" s="6"/>
      <c r="D210" s="6"/>
      <c r="E210" s="6"/>
    </row>
    <row r="211" spans="3:5" ht="13" x14ac:dyDescent="0.6">
      <c r="C211" s="6"/>
      <c r="D211" s="6"/>
      <c r="E211" s="6"/>
    </row>
    <row r="212" spans="3:5" ht="13" x14ac:dyDescent="0.6">
      <c r="C212" s="6"/>
      <c r="D212" s="6"/>
      <c r="E212" s="6"/>
    </row>
    <row r="213" spans="3:5" ht="13" x14ac:dyDescent="0.6">
      <c r="C213" s="6"/>
      <c r="D213" s="6"/>
      <c r="E213" s="6"/>
    </row>
    <row r="214" spans="3:5" ht="13" x14ac:dyDescent="0.6">
      <c r="C214" s="6"/>
      <c r="D214" s="6"/>
      <c r="E214" s="6"/>
    </row>
    <row r="215" spans="3:5" ht="13" x14ac:dyDescent="0.6">
      <c r="C215" s="6"/>
      <c r="D215" s="6"/>
      <c r="E215" s="6"/>
    </row>
    <row r="216" spans="3:5" ht="13" x14ac:dyDescent="0.6">
      <c r="C216" s="6"/>
      <c r="D216" s="6"/>
      <c r="E216" s="6"/>
    </row>
    <row r="217" spans="3:5" ht="13" x14ac:dyDescent="0.6">
      <c r="C217" s="6"/>
      <c r="D217" s="6"/>
      <c r="E217" s="6"/>
    </row>
    <row r="218" spans="3:5" ht="13" x14ac:dyDescent="0.6">
      <c r="C218" s="6"/>
      <c r="D218" s="6"/>
      <c r="E218" s="6"/>
    </row>
    <row r="219" spans="3:5" ht="13" x14ac:dyDescent="0.6">
      <c r="C219" s="6"/>
      <c r="D219" s="6"/>
      <c r="E219" s="6"/>
    </row>
    <row r="220" spans="3:5" ht="13" x14ac:dyDescent="0.6">
      <c r="C220" s="6"/>
      <c r="D220" s="6"/>
      <c r="E220" s="6"/>
    </row>
    <row r="221" spans="3:5" ht="13" x14ac:dyDescent="0.6">
      <c r="C221" s="6"/>
      <c r="D221" s="6"/>
      <c r="E221" s="6"/>
    </row>
    <row r="222" spans="3:5" ht="13" x14ac:dyDescent="0.6">
      <c r="C222" s="6"/>
      <c r="D222" s="6"/>
      <c r="E222" s="6"/>
    </row>
    <row r="223" spans="3:5" ht="13" x14ac:dyDescent="0.6">
      <c r="C223" s="6"/>
      <c r="D223" s="6"/>
      <c r="E223" s="6"/>
    </row>
    <row r="224" spans="3:5" ht="13" x14ac:dyDescent="0.6">
      <c r="C224" s="6"/>
      <c r="D224" s="6"/>
      <c r="E224" s="6"/>
    </row>
    <row r="225" spans="3:5" ht="13" x14ac:dyDescent="0.6">
      <c r="C225" s="6"/>
      <c r="D225" s="6"/>
      <c r="E225" s="6"/>
    </row>
    <row r="226" spans="3:5" ht="13" x14ac:dyDescent="0.6">
      <c r="C226" s="6"/>
      <c r="D226" s="6"/>
      <c r="E226" s="6"/>
    </row>
    <row r="227" spans="3:5" ht="13" x14ac:dyDescent="0.6">
      <c r="C227" s="6"/>
      <c r="D227" s="6"/>
      <c r="E227" s="6"/>
    </row>
    <row r="228" spans="3:5" ht="13" x14ac:dyDescent="0.6">
      <c r="C228" s="6"/>
      <c r="D228" s="6"/>
      <c r="E228" s="6"/>
    </row>
    <row r="229" spans="3:5" ht="13" x14ac:dyDescent="0.6">
      <c r="C229" s="6"/>
      <c r="D229" s="6"/>
      <c r="E229" s="6"/>
    </row>
    <row r="230" spans="3:5" ht="13" x14ac:dyDescent="0.6">
      <c r="C230" s="6"/>
      <c r="D230" s="6"/>
      <c r="E230" s="6"/>
    </row>
    <row r="231" spans="3:5" ht="13" x14ac:dyDescent="0.6">
      <c r="C231" s="6"/>
      <c r="D231" s="6"/>
      <c r="E231" s="6"/>
    </row>
    <row r="232" spans="3:5" ht="13" x14ac:dyDescent="0.6">
      <c r="C232" s="6"/>
      <c r="D232" s="6"/>
      <c r="E232" s="6"/>
    </row>
    <row r="233" spans="3:5" ht="13" x14ac:dyDescent="0.6">
      <c r="C233" s="6"/>
      <c r="D233" s="6"/>
      <c r="E233" s="6"/>
    </row>
    <row r="234" spans="3:5" ht="13" x14ac:dyDescent="0.6">
      <c r="C234" s="6"/>
      <c r="D234" s="6"/>
      <c r="E234" s="6"/>
    </row>
    <row r="235" spans="3:5" ht="13" x14ac:dyDescent="0.6">
      <c r="C235" s="6"/>
      <c r="D235" s="6"/>
      <c r="E235" s="6"/>
    </row>
    <row r="236" spans="3:5" ht="13" x14ac:dyDescent="0.6">
      <c r="C236" s="6"/>
      <c r="D236" s="6"/>
      <c r="E236" s="6"/>
    </row>
    <row r="237" spans="3:5" ht="13" x14ac:dyDescent="0.6">
      <c r="C237" s="6"/>
      <c r="D237" s="6"/>
      <c r="E237" s="6"/>
    </row>
    <row r="238" spans="3:5" ht="13" x14ac:dyDescent="0.6">
      <c r="C238" s="6"/>
      <c r="D238" s="6"/>
      <c r="E238" s="6"/>
    </row>
    <row r="239" spans="3:5" ht="13" x14ac:dyDescent="0.6">
      <c r="C239" s="6"/>
      <c r="D239" s="6"/>
      <c r="E239" s="6"/>
    </row>
    <row r="240" spans="3:5" ht="13" x14ac:dyDescent="0.6">
      <c r="C240" s="6"/>
      <c r="D240" s="6"/>
      <c r="E240" s="6"/>
    </row>
    <row r="241" spans="3:5" ht="13" x14ac:dyDescent="0.6">
      <c r="C241" s="6"/>
      <c r="D241" s="6"/>
      <c r="E241" s="6"/>
    </row>
    <row r="242" spans="3:5" ht="13" x14ac:dyDescent="0.6">
      <c r="C242" s="6"/>
      <c r="D242" s="6"/>
      <c r="E242" s="6"/>
    </row>
    <row r="243" spans="3:5" ht="13" x14ac:dyDescent="0.6">
      <c r="C243" s="6"/>
      <c r="D243" s="6"/>
      <c r="E243" s="6"/>
    </row>
    <row r="244" spans="3:5" ht="13" x14ac:dyDescent="0.6">
      <c r="C244" s="6"/>
      <c r="D244" s="6"/>
      <c r="E244" s="6"/>
    </row>
    <row r="245" spans="3:5" ht="13" x14ac:dyDescent="0.6">
      <c r="C245" s="6"/>
      <c r="D245" s="6"/>
      <c r="E245" s="6"/>
    </row>
    <row r="246" spans="3:5" ht="13" x14ac:dyDescent="0.6">
      <c r="C246" s="6"/>
      <c r="D246" s="6"/>
      <c r="E246" s="6"/>
    </row>
    <row r="247" spans="3:5" ht="13" x14ac:dyDescent="0.6">
      <c r="C247" s="6"/>
      <c r="D247" s="6"/>
      <c r="E247" s="6"/>
    </row>
    <row r="248" spans="3:5" ht="13" x14ac:dyDescent="0.6">
      <c r="C248" s="6"/>
      <c r="D248" s="6"/>
      <c r="E248" s="6"/>
    </row>
    <row r="249" spans="3:5" ht="13" x14ac:dyDescent="0.6">
      <c r="C249" s="6"/>
      <c r="D249" s="6"/>
      <c r="E249" s="6"/>
    </row>
    <row r="250" spans="3:5" ht="13" x14ac:dyDescent="0.6">
      <c r="C250" s="6"/>
      <c r="D250" s="6"/>
      <c r="E250" s="6"/>
    </row>
    <row r="251" spans="3:5" ht="13" x14ac:dyDescent="0.6">
      <c r="C251" s="6"/>
      <c r="D251" s="6"/>
      <c r="E251" s="6"/>
    </row>
    <row r="252" spans="3:5" ht="13" x14ac:dyDescent="0.6">
      <c r="C252" s="6"/>
      <c r="D252" s="6"/>
      <c r="E252" s="6"/>
    </row>
    <row r="253" spans="3:5" ht="13" x14ac:dyDescent="0.6">
      <c r="C253" s="6"/>
      <c r="D253" s="6"/>
      <c r="E253" s="6"/>
    </row>
    <row r="254" spans="3:5" ht="13" x14ac:dyDescent="0.6">
      <c r="C254" s="6"/>
      <c r="D254" s="6"/>
      <c r="E254" s="6"/>
    </row>
    <row r="255" spans="3:5" ht="13" x14ac:dyDescent="0.6">
      <c r="C255" s="6"/>
      <c r="D255" s="6"/>
      <c r="E255" s="6"/>
    </row>
    <row r="256" spans="3:5" ht="13" x14ac:dyDescent="0.6">
      <c r="C256" s="6"/>
      <c r="D256" s="6"/>
      <c r="E256" s="6"/>
    </row>
    <row r="257" spans="3:5" ht="13" x14ac:dyDescent="0.6">
      <c r="C257" s="6"/>
      <c r="D257" s="6"/>
      <c r="E257" s="6"/>
    </row>
    <row r="258" spans="3:5" ht="13" x14ac:dyDescent="0.6">
      <c r="C258" s="6"/>
      <c r="D258" s="6"/>
      <c r="E258" s="6"/>
    </row>
    <row r="259" spans="3:5" ht="13" x14ac:dyDescent="0.6">
      <c r="C259" s="6"/>
      <c r="D259" s="6"/>
      <c r="E259" s="6"/>
    </row>
    <row r="260" spans="3:5" ht="13" x14ac:dyDescent="0.6">
      <c r="C260" s="6"/>
      <c r="D260" s="6"/>
      <c r="E260" s="6"/>
    </row>
    <row r="261" spans="3:5" ht="13" x14ac:dyDescent="0.6">
      <c r="C261" s="6"/>
      <c r="D261" s="6"/>
      <c r="E261" s="6"/>
    </row>
    <row r="262" spans="3:5" ht="13" x14ac:dyDescent="0.6">
      <c r="C262" s="6"/>
      <c r="D262" s="6"/>
      <c r="E262" s="6"/>
    </row>
    <row r="263" spans="3:5" ht="13" x14ac:dyDescent="0.6">
      <c r="C263" s="6"/>
      <c r="D263" s="6"/>
      <c r="E263" s="6"/>
    </row>
    <row r="264" spans="3:5" ht="13" x14ac:dyDescent="0.6">
      <c r="C264" s="6"/>
      <c r="D264" s="6"/>
      <c r="E264" s="6"/>
    </row>
    <row r="265" spans="3:5" ht="13" x14ac:dyDescent="0.6">
      <c r="C265" s="6"/>
      <c r="D265" s="6"/>
      <c r="E265" s="6"/>
    </row>
    <row r="266" spans="3:5" ht="13" x14ac:dyDescent="0.6">
      <c r="C266" s="6"/>
      <c r="D266" s="6"/>
      <c r="E266" s="6"/>
    </row>
    <row r="267" spans="3:5" ht="13" x14ac:dyDescent="0.6">
      <c r="C267" s="6"/>
      <c r="D267" s="6"/>
      <c r="E267" s="6"/>
    </row>
    <row r="268" spans="3:5" ht="13" x14ac:dyDescent="0.6">
      <c r="C268" s="6"/>
      <c r="D268" s="6"/>
      <c r="E268" s="6"/>
    </row>
    <row r="269" spans="3:5" ht="13" x14ac:dyDescent="0.6">
      <c r="C269" s="6"/>
      <c r="D269" s="6"/>
      <c r="E269" s="6"/>
    </row>
    <row r="270" spans="3:5" ht="13" x14ac:dyDescent="0.6">
      <c r="C270" s="6"/>
      <c r="D270" s="6"/>
      <c r="E270" s="6"/>
    </row>
    <row r="271" spans="3:5" ht="13" x14ac:dyDescent="0.6">
      <c r="C271" s="6"/>
      <c r="D271" s="6"/>
      <c r="E271" s="6"/>
    </row>
    <row r="272" spans="3:5" ht="13" x14ac:dyDescent="0.6">
      <c r="C272" s="6"/>
      <c r="D272" s="6"/>
      <c r="E272" s="6"/>
    </row>
    <row r="273" spans="3:5" ht="13" x14ac:dyDescent="0.6">
      <c r="C273" s="6"/>
      <c r="D273" s="6"/>
      <c r="E273" s="6"/>
    </row>
    <row r="274" spans="3:5" ht="13" x14ac:dyDescent="0.6">
      <c r="C274" s="6"/>
      <c r="D274" s="6"/>
      <c r="E274" s="6"/>
    </row>
    <row r="275" spans="3:5" ht="13" x14ac:dyDescent="0.6">
      <c r="C275" s="6"/>
      <c r="D275" s="6"/>
      <c r="E275" s="6"/>
    </row>
    <row r="276" spans="3:5" ht="13" x14ac:dyDescent="0.6">
      <c r="C276" s="6"/>
      <c r="D276" s="6"/>
      <c r="E276" s="6"/>
    </row>
    <row r="277" spans="3:5" ht="13" x14ac:dyDescent="0.6">
      <c r="C277" s="6"/>
      <c r="D277" s="6"/>
      <c r="E277" s="6"/>
    </row>
    <row r="278" spans="3:5" ht="13" x14ac:dyDescent="0.6">
      <c r="C278" s="6"/>
      <c r="D278" s="6"/>
      <c r="E278" s="6"/>
    </row>
    <row r="279" spans="3:5" ht="13" x14ac:dyDescent="0.6">
      <c r="C279" s="6"/>
      <c r="D279" s="6"/>
      <c r="E279" s="6"/>
    </row>
    <row r="280" spans="3:5" ht="13" x14ac:dyDescent="0.6">
      <c r="C280" s="6"/>
      <c r="D280" s="6"/>
      <c r="E280" s="6"/>
    </row>
    <row r="281" spans="3:5" ht="13" x14ac:dyDescent="0.6">
      <c r="C281" s="6"/>
      <c r="D281" s="6"/>
      <c r="E281" s="6"/>
    </row>
    <row r="282" spans="3:5" ht="13" x14ac:dyDescent="0.6">
      <c r="C282" s="6"/>
      <c r="D282" s="6"/>
      <c r="E282" s="6"/>
    </row>
    <row r="283" spans="3:5" ht="13" x14ac:dyDescent="0.6">
      <c r="C283" s="6"/>
      <c r="D283" s="6"/>
      <c r="E283" s="6"/>
    </row>
    <row r="284" spans="3:5" ht="13" x14ac:dyDescent="0.6">
      <c r="C284" s="6"/>
      <c r="D284" s="6"/>
      <c r="E284" s="6"/>
    </row>
    <row r="285" spans="3:5" ht="13" x14ac:dyDescent="0.6">
      <c r="C285" s="6"/>
      <c r="D285" s="6"/>
      <c r="E285" s="6"/>
    </row>
    <row r="286" spans="3:5" ht="13" x14ac:dyDescent="0.6">
      <c r="C286" s="6"/>
      <c r="D286" s="6"/>
      <c r="E286" s="6"/>
    </row>
    <row r="287" spans="3:5" ht="13" x14ac:dyDescent="0.6">
      <c r="C287" s="6"/>
      <c r="D287" s="6"/>
      <c r="E287" s="6"/>
    </row>
    <row r="288" spans="3:5" ht="13" x14ac:dyDescent="0.6">
      <c r="C288" s="6"/>
      <c r="D288" s="6"/>
      <c r="E288" s="6"/>
    </row>
    <row r="289" spans="3:5" ht="13" x14ac:dyDescent="0.6">
      <c r="C289" s="6"/>
      <c r="D289" s="6"/>
      <c r="E289" s="6"/>
    </row>
    <row r="290" spans="3:5" ht="13" x14ac:dyDescent="0.6">
      <c r="C290" s="6"/>
      <c r="D290" s="6"/>
      <c r="E290" s="6"/>
    </row>
    <row r="291" spans="3:5" ht="13" x14ac:dyDescent="0.6">
      <c r="C291" s="6"/>
      <c r="D291" s="6"/>
      <c r="E291" s="6"/>
    </row>
    <row r="292" spans="3:5" ht="13" x14ac:dyDescent="0.6">
      <c r="C292" s="6"/>
      <c r="D292" s="6"/>
      <c r="E292" s="6"/>
    </row>
    <row r="293" spans="3:5" ht="13" x14ac:dyDescent="0.6">
      <c r="C293" s="6"/>
      <c r="D293" s="6"/>
      <c r="E293" s="6"/>
    </row>
    <row r="294" spans="3:5" ht="13" x14ac:dyDescent="0.6">
      <c r="C294" s="6"/>
      <c r="D294" s="6"/>
      <c r="E294" s="6"/>
    </row>
    <row r="295" spans="3:5" ht="13" x14ac:dyDescent="0.6">
      <c r="C295" s="6"/>
      <c r="D295" s="6"/>
      <c r="E295" s="6"/>
    </row>
    <row r="296" spans="3:5" ht="13" x14ac:dyDescent="0.6">
      <c r="C296" s="6"/>
      <c r="D296" s="6"/>
      <c r="E296" s="6"/>
    </row>
    <row r="297" spans="3:5" ht="13" x14ac:dyDescent="0.6">
      <c r="C297" s="6"/>
      <c r="D297" s="6"/>
      <c r="E297" s="6"/>
    </row>
    <row r="298" spans="3:5" ht="13" x14ac:dyDescent="0.6">
      <c r="C298" s="6"/>
      <c r="D298" s="6"/>
      <c r="E298" s="6"/>
    </row>
    <row r="299" spans="3:5" ht="13" x14ac:dyDescent="0.6">
      <c r="C299" s="6"/>
      <c r="D299" s="6"/>
      <c r="E299" s="6"/>
    </row>
    <row r="300" spans="3:5" ht="13" x14ac:dyDescent="0.6">
      <c r="C300" s="6"/>
      <c r="D300" s="6"/>
      <c r="E300" s="6"/>
    </row>
    <row r="301" spans="3:5" ht="13" x14ac:dyDescent="0.6">
      <c r="C301" s="6"/>
      <c r="D301" s="6"/>
      <c r="E301" s="6"/>
    </row>
    <row r="302" spans="3:5" ht="13" x14ac:dyDescent="0.6">
      <c r="C302" s="6"/>
      <c r="D302" s="6"/>
      <c r="E302" s="6"/>
    </row>
    <row r="303" spans="3:5" ht="13" x14ac:dyDescent="0.6">
      <c r="C303" s="6"/>
      <c r="D303" s="6"/>
      <c r="E303" s="6"/>
    </row>
    <row r="304" spans="3:5" ht="13" x14ac:dyDescent="0.6">
      <c r="C304" s="6"/>
      <c r="D304" s="6"/>
      <c r="E304" s="6"/>
    </row>
    <row r="305" spans="3:5" ht="13" x14ac:dyDescent="0.6">
      <c r="C305" s="6"/>
      <c r="D305" s="6"/>
      <c r="E305" s="6"/>
    </row>
    <row r="306" spans="3:5" ht="13" x14ac:dyDescent="0.6">
      <c r="C306" s="6"/>
      <c r="D306" s="6"/>
      <c r="E306" s="6"/>
    </row>
    <row r="307" spans="3:5" ht="13" x14ac:dyDescent="0.6">
      <c r="C307" s="6"/>
      <c r="D307" s="6"/>
      <c r="E307" s="6"/>
    </row>
    <row r="308" spans="3:5" ht="13" x14ac:dyDescent="0.6">
      <c r="C308" s="6"/>
      <c r="D308" s="6"/>
      <c r="E308" s="6"/>
    </row>
    <row r="309" spans="3:5" ht="13" x14ac:dyDescent="0.6">
      <c r="C309" s="6"/>
      <c r="D309" s="6"/>
      <c r="E309" s="6"/>
    </row>
    <row r="310" spans="3:5" ht="13" x14ac:dyDescent="0.6">
      <c r="C310" s="6"/>
      <c r="D310" s="6"/>
      <c r="E310" s="6"/>
    </row>
    <row r="311" spans="3:5" ht="13" x14ac:dyDescent="0.6">
      <c r="C311" s="6"/>
      <c r="D311" s="6"/>
      <c r="E311" s="6"/>
    </row>
    <row r="312" spans="3:5" ht="13" x14ac:dyDescent="0.6">
      <c r="C312" s="6"/>
      <c r="D312" s="6"/>
      <c r="E312" s="6"/>
    </row>
    <row r="313" spans="3:5" ht="13" x14ac:dyDescent="0.6">
      <c r="C313" s="6"/>
      <c r="D313" s="6"/>
      <c r="E313" s="6"/>
    </row>
    <row r="314" spans="3:5" ht="13" x14ac:dyDescent="0.6">
      <c r="C314" s="6"/>
      <c r="D314" s="6"/>
      <c r="E314" s="6"/>
    </row>
    <row r="315" spans="3:5" ht="13" x14ac:dyDescent="0.6">
      <c r="C315" s="6"/>
      <c r="D315" s="6"/>
      <c r="E315" s="6"/>
    </row>
    <row r="316" spans="3:5" ht="13" x14ac:dyDescent="0.6">
      <c r="C316" s="6"/>
      <c r="D316" s="6"/>
      <c r="E316" s="6"/>
    </row>
    <row r="317" spans="3:5" ht="13" x14ac:dyDescent="0.6">
      <c r="C317" s="6"/>
      <c r="D317" s="6"/>
      <c r="E317" s="6"/>
    </row>
    <row r="318" spans="3:5" ht="13" x14ac:dyDescent="0.6">
      <c r="C318" s="6"/>
      <c r="D318" s="6"/>
      <c r="E318" s="6"/>
    </row>
    <row r="319" spans="3:5" ht="13" x14ac:dyDescent="0.6">
      <c r="C319" s="6"/>
      <c r="D319" s="6"/>
      <c r="E319" s="6"/>
    </row>
    <row r="320" spans="3:5" ht="13" x14ac:dyDescent="0.6">
      <c r="C320" s="6"/>
      <c r="D320" s="6"/>
      <c r="E320" s="6"/>
    </row>
    <row r="321" spans="3:5" ht="13" x14ac:dyDescent="0.6">
      <c r="C321" s="6"/>
      <c r="D321" s="6"/>
      <c r="E321" s="6"/>
    </row>
    <row r="322" spans="3:5" ht="13" x14ac:dyDescent="0.6">
      <c r="C322" s="6"/>
      <c r="D322" s="6"/>
      <c r="E322" s="6"/>
    </row>
    <row r="323" spans="3:5" ht="13" x14ac:dyDescent="0.6">
      <c r="C323" s="6"/>
      <c r="D323" s="6"/>
      <c r="E323" s="6"/>
    </row>
    <row r="324" spans="3:5" ht="13" x14ac:dyDescent="0.6">
      <c r="C324" s="6"/>
      <c r="D324" s="6"/>
      <c r="E324" s="6"/>
    </row>
    <row r="325" spans="3:5" ht="13" x14ac:dyDescent="0.6">
      <c r="C325" s="6"/>
      <c r="D325" s="6"/>
      <c r="E325" s="6"/>
    </row>
    <row r="326" spans="3:5" ht="13" x14ac:dyDescent="0.6">
      <c r="C326" s="6"/>
      <c r="D326" s="6"/>
      <c r="E326" s="6"/>
    </row>
    <row r="327" spans="3:5" ht="13" x14ac:dyDescent="0.6">
      <c r="C327" s="6"/>
      <c r="D327" s="6"/>
      <c r="E327" s="6"/>
    </row>
    <row r="328" spans="3:5" ht="13" x14ac:dyDescent="0.6">
      <c r="C328" s="6"/>
      <c r="D328" s="6"/>
      <c r="E328" s="6"/>
    </row>
    <row r="329" spans="3:5" ht="13" x14ac:dyDescent="0.6">
      <c r="C329" s="6"/>
      <c r="D329" s="6"/>
      <c r="E329" s="6"/>
    </row>
    <row r="330" spans="3:5" ht="13" x14ac:dyDescent="0.6">
      <c r="C330" s="6"/>
      <c r="D330" s="6"/>
      <c r="E330" s="6"/>
    </row>
    <row r="331" spans="3:5" ht="13" x14ac:dyDescent="0.6">
      <c r="C331" s="6"/>
      <c r="D331" s="6"/>
      <c r="E331" s="6"/>
    </row>
    <row r="332" spans="3:5" ht="13" x14ac:dyDescent="0.6">
      <c r="C332" s="6"/>
      <c r="D332" s="6"/>
      <c r="E332" s="6"/>
    </row>
    <row r="333" spans="3:5" ht="13" x14ac:dyDescent="0.6">
      <c r="C333" s="6"/>
      <c r="D333" s="6"/>
      <c r="E333" s="6"/>
    </row>
    <row r="334" spans="3:5" ht="13" x14ac:dyDescent="0.6">
      <c r="C334" s="6"/>
      <c r="D334" s="6"/>
      <c r="E334" s="6"/>
    </row>
    <row r="335" spans="3:5" ht="13" x14ac:dyDescent="0.6">
      <c r="C335" s="6"/>
      <c r="D335" s="6"/>
      <c r="E335" s="6"/>
    </row>
    <row r="336" spans="3:5" ht="13" x14ac:dyDescent="0.6">
      <c r="C336" s="6"/>
      <c r="D336" s="6"/>
      <c r="E336" s="6"/>
    </row>
    <row r="337" spans="3:5" ht="13" x14ac:dyDescent="0.6">
      <c r="C337" s="6"/>
      <c r="D337" s="6"/>
      <c r="E337" s="6"/>
    </row>
    <row r="338" spans="3:5" ht="13" x14ac:dyDescent="0.6">
      <c r="C338" s="6"/>
      <c r="D338" s="6"/>
      <c r="E338" s="6"/>
    </row>
    <row r="339" spans="3:5" ht="13" x14ac:dyDescent="0.6">
      <c r="C339" s="6"/>
      <c r="D339" s="6"/>
      <c r="E339" s="6"/>
    </row>
    <row r="340" spans="3:5" ht="13" x14ac:dyDescent="0.6">
      <c r="C340" s="6"/>
      <c r="D340" s="6"/>
      <c r="E340" s="6"/>
    </row>
    <row r="341" spans="3:5" ht="13" x14ac:dyDescent="0.6">
      <c r="C341" s="6"/>
      <c r="D341" s="6"/>
      <c r="E341" s="6"/>
    </row>
    <row r="342" spans="3:5" ht="13" x14ac:dyDescent="0.6">
      <c r="C342" s="6"/>
      <c r="D342" s="6"/>
      <c r="E342" s="6"/>
    </row>
    <row r="343" spans="3:5" ht="13" x14ac:dyDescent="0.6">
      <c r="C343" s="6"/>
      <c r="D343" s="6"/>
      <c r="E343" s="6"/>
    </row>
    <row r="344" spans="3:5" ht="13" x14ac:dyDescent="0.6">
      <c r="C344" s="6"/>
      <c r="D344" s="6"/>
      <c r="E344" s="6"/>
    </row>
    <row r="345" spans="3:5" ht="13" x14ac:dyDescent="0.6">
      <c r="C345" s="6"/>
      <c r="D345" s="6"/>
      <c r="E345" s="6"/>
    </row>
    <row r="346" spans="3:5" ht="13" x14ac:dyDescent="0.6">
      <c r="C346" s="6"/>
      <c r="D346" s="6"/>
      <c r="E346" s="6"/>
    </row>
    <row r="347" spans="3:5" ht="13" x14ac:dyDescent="0.6">
      <c r="C347" s="6"/>
      <c r="D347" s="6"/>
      <c r="E347" s="6"/>
    </row>
    <row r="348" spans="3:5" ht="13" x14ac:dyDescent="0.6">
      <c r="C348" s="6"/>
      <c r="D348" s="6"/>
      <c r="E348" s="6"/>
    </row>
    <row r="349" spans="3:5" ht="13" x14ac:dyDescent="0.6">
      <c r="C349" s="6"/>
      <c r="D349" s="6"/>
      <c r="E349" s="6"/>
    </row>
    <row r="350" spans="3:5" ht="13" x14ac:dyDescent="0.6">
      <c r="C350" s="6"/>
      <c r="D350" s="6"/>
      <c r="E350" s="6"/>
    </row>
    <row r="351" spans="3:5" ht="13" x14ac:dyDescent="0.6">
      <c r="C351" s="6"/>
      <c r="D351" s="6"/>
      <c r="E351" s="6"/>
    </row>
    <row r="352" spans="3:5" ht="13" x14ac:dyDescent="0.6">
      <c r="C352" s="6"/>
      <c r="D352" s="6"/>
      <c r="E352" s="6"/>
    </row>
    <row r="353" spans="3:5" ht="13" x14ac:dyDescent="0.6">
      <c r="C353" s="6"/>
      <c r="D353" s="6"/>
      <c r="E353" s="6"/>
    </row>
    <row r="354" spans="3:5" ht="13" x14ac:dyDescent="0.6">
      <c r="C354" s="6"/>
      <c r="D354" s="6"/>
      <c r="E354" s="6"/>
    </row>
    <row r="355" spans="3:5" ht="13" x14ac:dyDescent="0.6">
      <c r="C355" s="6"/>
      <c r="D355" s="6"/>
      <c r="E355" s="6"/>
    </row>
    <row r="356" spans="3:5" ht="13" x14ac:dyDescent="0.6">
      <c r="C356" s="6"/>
      <c r="D356" s="6"/>
      <c r="E356" s="6"/>
    </row>
    <row r="357" spans="3:5" ht="13" x14ac:dyDescent="0.6">
      <c r="C357" s="6"/>
      <c r="D357" s="6"/>
      <c r="E357" s="6"/>
    </row>
    <row r="358" spans="3:5" ht="13" x14ac:dyDescent="0.6">
      <c r="C358" s="6"/>
      <c r="D358" s="6"/>
      <c r="E358" s="6"/>
    </row>
    <row r="359" spans="3:5" ht="13" x14ac:dyDescent="0.6">
      <c r="C359" s="6"/>
      <c r="D359" s="6"/>
      <c r="E359" s="6"/>
    </row>
    <row r="360" spans="3:5" ht="13" x14ac:dyDescent="0.6">
      <c r="C360" s="6"/>
      <c r="D360" s="6"/>
      <c r="E360" s="6"/>
    </row>
    <row r="361" spans="3:5" ht="13" x14ac:dyDescent="0.6">
      <c r="C361" s="6"/>
      <c r="D361" s="6"/>
      <c r="E361" s="6"/>
    </row>
    <row r="362" spans="3:5" ht="13" x14ac:dyDescent="0.6">
      <c r="C362" s="6"/>
      <c r="D362" s="6"/>
      <c r="E362" s="6"/>
    </row>
    <row r="363" spans="3:5" ht="13" x14ac:dyDescent="0.6">
      <c r="C363" s="6"/>
      <c r="D363" s="6"/>
      <c r="E363" s="6"/>
    </row>
    <row r="364" spans="3:5" ht="13" x14ac:dyDescent="0.6">
      <c r="C364" s="6"/>
      <c r="D364" s="6"/>
      <c r="E364" s="6"/>
    </row>
    <row r="365" spans="3:5" ht="13" x14ac:dyDescent="0.6">
      <c r="C365" s="6"/>
      <c r="D365" s="6"/>
      <c r="E365" s="6"/>
    </row>
    <row r="366" spans="3:5" ht="13" x14ac:dyDescent="0.6">
      <c r="C366" s="6"/>
      <c r="D366" s="6"/>
      <c r="E366" s="6"/>
    </row>
    <row r="367" spans="3:5" ht="13" x14ac:dyDescent="0.6">
      <c r="C367" s="6"/>
      <c r="D367" s="6"/>
      <c r="E367" s="6"/>
    </row>
    <row r="368" spans="3:5" ht="13" x14ac:dyDescent="0.6">
      <c r="C368" s="6"/>
      <c r="D368" s="6"/>
      <c r="E368" s="6"/>
    </row>
    <row r="369" spans="3:5" ht="13" x14ac:dyDescent="0.6">
      <c r="C369" s="6"/>
      <c r="D369" s="6"/>
      <c r="E369" s="6"/>
    </row>
    <row r="370" spans="3:5" ht="13" x14ac:dyDescent="0.6">
      <c r="C370" s="6"/>
      <c r="D370" s="6"/>
      <c r="E370" s="6"/>
    </row>
    <row r="371" spans="3:5" ht="13" x14ac:dyDescent="0.6">
      <c r="C371" s="6"/>
      <c r="D371" s="6"/>
      <c r="E371" s="6"/>
    </row>
    <row r="372" spans="3:5" ht="13" x14ac:dyDescent="0.6">
      <c r="C372" s="6"/>
      <c r="D372" s="6"/>
      <c r="E372" s="6"/>
    </row>
    <row r="373" spans="3:5" ht="13" x14ac:dyDescent="0.6">
      <c r="C373" s="6"/>
      <c r="D373" s="6"/>
      <c r="E373" s="6"/>
    </row>
    <row r="374" spans="3:5" ht="13" x14ac:dyDescent="0.6">
      <c r="C374" s="6"/>
      <c r="D374" s="6"/>
      <c r="E374" s="6"/>
    </row>
    <row r="375" spans="3:5" ht="13" x14ac:dyDescent="0.6">
      <c r="C375" s="6"/>
      <c r="D375" s="6"/>
      <c r="E375" s="6"/>
    </row>
    <row r="376" spans="3:5" ht="13" x14ac:dyDescent="0.6">
      <c r="C376" s="6"/>
      <c r="D376" s="6"/>
      <c r="E376" s="6"/>
    </row>
    <row r="377" spans="3:5" ht="13" x14ac:dyDescent="0.6">
      <c r="C377" s="6"/>
      <c r="D377" s="6"/>
      <c r="E377" s="6"/>
    </row>
    <row r="378" spans="3:5" ht="13" x14ac:dyDescent="0.6">
      <c r="C378" s="6"/>
      <c r="D378" s="6"/>
      <c r="E378" s="6"/>
    </row>
    <row r="379" spans="3:5" ht="13" x14ac:dyDescent="0.6">
      <c r="C379" s="6"/>
      <c r="D379" s="6"/>
      <c r="E379" s="6"/>
    </row>
    <row r="380" spans="3:5" ht="13" x14ac:dyDescent="0.6">
      <c r="C380" s="6"/>
      <c r="D380" s="6"/>
      <c r="E380" s="6"/>
    </row>
    <row r="381" spans="3:5" ht="13" x14ac:dyDescent="0.6">
      <c r="C381" s="6"/>
      <c r="D381" s="6"/>
      <c r="E381" s="6"/>
    </row>
    <row r="382" spans="3:5" ht="13" x14ac:dyDescent="0.6">
      <c r="C382" s="6"/>
      <c r="D382" s="6"/>
      <c r="E382" s="6"/>
    </row>
    <row r="383" spans="3:5" ht="13" x14ac:dyDescent="0.6">
      <c r="C383" s="6"/>
      <c r="D383" s="6"/>
      <c r="E383" s="6"/>
    </row>
    <row r="384" spans="3:5" ht="13" x14ac:dyDescent="0.6">
      <c r="C384" s="6"/>
      <c r="D384" s="6"/>
      <c r="E384" s="6"/>
    </row>
    <row r="385" spans="3:5" ht="13" x14ac:dyDescent="0.6">
      <c r="C385" s="6"/>
      <c r="D385" s="6"/>
      <c r="E385" s="6"/>
    </row>
    <row r="386" spans="3:5" ht="13" x14ac:dyDescent="0.6">
      <c r="C386" s="6"/>
      <c r="D386" s="6"/>
      <c r="E386" s="6"/>
    </row>
    <row r="387" spans="3:5" ht="13" x14ac:dyDescent="0.6">
      <c r="C387" s="6"/>
      <c r="D387" s="6"/>
      <c r="E387" s="6"/>
    </row>
    <row r="388" spans="3:5" ht="13" x14ac:dyDescent="0.6">
      <c r="C388" s="6"/>
      <c r="D388" s="6"/>
      <c r="E388" s="6"/>
    </row>
    <row r="389" spans="3:5" ht="13" x14ac:dyDescent="0.6">
      <c r="C389" s="6"/>
      <c r="D389" s="6"/>
      <c r="E389" s="6"/>
    </row>
    <row r="390" spans="3:5" ht="13" x14ac:dyDescent="0.6">
      <c r="C390" s="6"/>
      <c r="D390" s="6"/>
      <c r="E390" s="6"/>
    </row>
    <row r="391" spans="3:5" ht="13" x14ac:dyDescent="0.6">
      <c r="C391" s="6"/>
      <c r="D391" s="6"/>
      <c r="E391" s="6"/>
    </row>
    <row r="392" spans="3:5" ht="13" x14ac:dyDescent="0.6">
      <c r="C392" s="6"/>
      <c r="D392" s="6"/>
      <c r="E392" s="6"/>
    </row>
    <row r="393" spans="3:5" ht="13" x14ac:dyDescent="0.6">
      <c r="C393" s="6"/>
      <c r="D393" s="6"/>
      <c r="E393" s="6"/>
    </row>
    <row r="394" spans="3:5" ht="13" x14ac:dyDescent="0.6">
      <c r="C394" s="6"/>
      <c r="D394" s="6"/>
      <c r="E394" s="6"/>
    </row>
    <row r="395" spans="3:5" ht="13" x14ac:dyDescent="0.6">
      <c r="C395" s="6"/>
      <c r="D395" s="6"/>
      <c r="E395" s="6"/>
    </row>
    <row r="396" spans="3:5" ht="13" x14ac:dyDescent="0.6">
      <c r="C396" s="6"/>
      <c r="D396" s="6"/>
      <c r="E396" s="6"/>
    </row>
    <row r="397" spans="3:5" ht="13" x14ac:dyDescent="0.6">
      <c r="C397" s="6"/>
      <c r="D397" s="6"/>
      <c r="E397" s="6"/>
    </row>
    <row r="398" spans="3:5" ht="13" x14ac:dyDescent="0.6">
      <c r="C398" s="6"/>
      <c r="D398" s="6"/>
      <c r="E398" s="6"/>
    </row>
    <row r="399" spans="3:5" ht="13" x14ac:dyDescent="0.6">
      <c r="C399" s="6"/>
      <c r="D399" s="6"/>
      <c r="E399" s="6"/>
    </row>
    <row r="400" spans="3:5" ht="13" x14ac:dyDescent="0.6">
      <c r="C400" s="6"/>
      <c r="D400" s="6"/>
      <c r="E400" s="6"/>
    </row>
    <row r="401" spans="3:5" ht="13" x14ac:dyDescent="0.6">
      <c r="C401" s="6"/>
      <c r="D401" s="6"/>
      <c r="E401" s="6"/>
    </row>
    <row r="402" spans="3:5" ht="13" x14ac:dyDescent="0.6">
      <c r="C402" s="6"/>
      <c r="D402" s="6"/>
      <c r="E402" s="6"/>
    </row>
    <row r="403" spans="3:5" ht="13" x14ac:dyDescent="0.6">
      <c r="C403" s="6"/>
      <c r="D403" s="6"/>
      <c r="E403" s="6"/>
    </row>
    <row r="404" spans="3:5" ht="13" x14ac:dyDescent="0.6">
      <c r="C404" s="6"/>
      <c r="D404" s="6"/>
      <c r="E404" s="6"/>
    </row>
    <row r="405" spans="3:5" ht="13" x14ac:dyDescent="0.6">
      <c r="C405" s="6"/>
      <c r="D405" s="6"/>
      <c r="E405" s="6"/>
    </row>
    <row r="406" spans="3:5" ht="13" x14ac:dyDescent="0.6">
      <c r="C406" s="6"/>
      <c r="D406" s="6"/>
      <c r="E406" s="6"/>
    </row>
    <row r="407" spans="3:5" ht="13" x14ac:dyDescent="0.6">
      <c r="C407" s="6"/>
      <c r="D407" s="6"/>
      <c r="E407" s="6"/>
    </row>
    <row r="408" spans="3:5" ht="13" x14ac:dyDescent="0.6">
      <c r="C408" s="6"/>
      <c r="D408" s="6"/>
      <c r="E408" s="6"/>
    </row>
    <row r="409" spans="3:5" ht="13" x14ac:dyDescent="0.6">
      <c r="C409" s="6"/>
      <c r="D409" s="6"/>
      <c r="E409" s="6"/>
    </row>
    <row r="410" spans="3:5" ht="13" x14ac:dyDescent="0.6">
      <c r="C410" s="6"/>
      <c r="D410" s="6"/>
      <c r="E410" s="6"/>
    </row>
    <row r="411" spans="3:5" ht="13" x14ac:dyDescent="0.6">
      <c r="C411" s="6"/>
      <c r="D411" s="6"/>
      <c r="E411" s="6"/>
    </row>
    <row r="412" spans="3:5" ht="13" x14ac:dyDescent="0.6">
      <c r="C412" s="6"/>
      <c r="D412" s="6"/>
      <c r="E412" s="6"/>
    </row>
    <row r="413" spans="3:5" ht="13" x14ac:dyDescent="0.6">
      <c r="C413" s="6"/>
      <c r="D413" s="6"/>
      <c r="E413" s="6"/>
    </row>
    <row r="414" spans="3:5" ht="13" x14ac:dyDescent="0.6">
      <c r="C414" s="6"/>
      <c r="D414" s="6"/>
      <c r="E414" s="6"/>
    </row>
    <row r="415" spans="3:5" ht="13" x14ac:dyDescent="0.6">
      <c r="C415" s="6"/>
      <c r="D415" s="6"/>
      <c r="E415" s="6"/>
    </row>
    <row r="416" spans="3:5" ht="13" x14ac:dyDescent="0.6">
      <c r="C416" s="6"/>
      <c r="D416" s="6"/>
      <c r="E416" s="6"/>
    </row>
    <row r="417" spans="3:5" ht="13" x14ac:dyDescent="0.6">
      <c r="C417" s="6"/>
      <c r="D417" s="6"/>
      <c r="E417" s="6"/>
    </row>
    <row r="418" spans="3:5" ht="13" x14ac:dyDescent="0.6">
      <c r="C418" s="6"/>
      <c r="D418" s="6"/>
      <c r="E418" s="6"/>
    </row>
    <row r="419" spans="3:5" ht="13" x14ac:dyDescent="0.6">
      <c r="C419" s="6"/>
      <c r="D419" s="6"/>
      <c r="E419" s="6"/>
    </row>
    <row r="420" spans="3:5" ht="13" x14ac:dyDescent="0.6">
      <c r="C420" s="6"/>
      <c r="D420" s="6"/>
      <c r="E420" s="6"/>
    </row>
    <row r="421" spans="3:5" ht="13" x14ac:dyDescent="0.6">
      <c r="C421" s="6"/>
      <c r="D421" s="6"/>
      <c r="E421" s="6"/>
    </row>
    <row r="422" spans="3:5" ht="13" x14ac:dyDescent="0.6">
      <c r="C422" s="6"/>
      <c r="D422" s="6"/>
      <c r="E422" s="6"/>
    </row>
    <row r="423" spans="3:5" ht="13" x14ac:dyDescent="0.6">
      <c r="C423" s="6"/>
      <c r="D423" s="6"/>
      <c r="E423" s="6"/>
    </row>
    <row r="424" spans="3:5" ht="13" x14ac:dyDescent="0.6">
      <c r="C424" s="6"/>
      <c r="D424" s="6"/>
      <c r="E424" s="6"/>
    </row>
    <row r="425" spans="3:5" ht="13" x14ac:dyDescent="0.6">
      <c r="C425" s="6"/>
      <c r="D425" s="6"/>
      <c r="E425" s="6"/>
    </row>
    <row r="426" spans="3:5" ht="13" x14ac:dyDescent="0.6">
      <c r="C426" s="6"/>
      <c r="D426" s="6"/>
      <c r="E426" s="6"/>
    </row>
    <row r="427" spans="3:5" ht="13" x14ac:dyDescent="0.6">
      <c r="C427" s="6"/>
      <c r="D427" s="6"/>
      <c r="E427" s="6"/>
    </row>
    <row r="428" spans="3:5" ht="13" x14ac:dyDescent="0.6">
      <c r="C428" s="6"/>
      <c r="D428" s="6"/>
      <c r="E428" s="6"/>
    </row>
    <row r="429" spans="3:5" ht="13" x14ac:dyDescent="0.6">
      <c r="C429" s="6"/>
      <c r="D429" s="6"/>
      <c r="E429" s="6"/>
    </row>
    <row r="430" spans="3:5" ht="13" x14ac:dyDescent="0.6">
      <c r="C430" s="6"/>
      <c r="D430" s="6"/>
      <c r="E430" s="6"/>
    </row>
    <row r="431" spans="3:5" ht="13" x14ac:dyDescent="0.6">
      <c r="C431" s="6"/>
      <c r="D431" s="6"/>
      <c r="E431" s="6"/>
    </row>
    <row r="432" spans="3:5" ht="13" x14ac:dyDescent="0.6">
      <c r="C432" s="6"/>
      <c r="D432" s="6"/>
      <c r="E432" s="6"/>
    </row>
    <row r="433" spans="3:5" ht="13" x14ac:dyDescent="0.6">
      <c r="C433" s="6"/>
      <c r="D433" s="6"/>
      <c r="E433" s="6"/>
    </row>
    <row r="434" spans="3:5" ht="13" x14ac:dyDescent="0.6">
      <c r="C434" s="6"/>
      <c r="D434" s="6"/>
      <c r="E434" s="6"/>
    </row>
    <row r="435" spans="3:5" ht="13" x14ac:dyDescent="0.6">
      <c r="C435" s="6"/>
      <c r="D435" s="6"/>
      <c r="E435" s="6"/>
    </row>
    <row r="436" spans="3:5" ht="13" x14ac:dyDescent="0.6">
      <c r="C436" s="6"/>
      <c r="D436" s="6"/>
      <c r="E436" s="6"/>
    </row>
    <row r="437" spans="3:5" ht="13" x14ac:dyDescent="0.6">
      <c r="C437" s="6"/>
      <c r="D437" s="6"/>
      <c r="E437" s="6"/>
    </row>
    <row r="438" spans="3:5" ht="13" x14ac:dyDescent="0.6">
      <c r="C438" s="6"/>
      <c r="D438" s="6"/>
      <c r="E438" s="6"/>
    </row>
    <row r="439" spans="3:5" ht="13" x14ac:dyDescent="0.6">
      <c r="C439" s="6"/>
      <c r="D439" s="6"/>
      <c r="E439" s="6"/>
    </row>
    <row r="440" spans="3:5" ht="13" x14ac:dyDescent="0.6">
      <c r="C440" s="6"/>
      <c r="D440" s="6"/>
      <c r="E440" s="6"/>
    </row>
    <row r="441" spans="3:5" ht="13" x14ac:dyDescent="0.6">
      <c r="C441" s="6"/>
      <c r="D441" s="6"/>
      <c r="E441" s="6"/>
    </row>
    <row r="442" spans="3:5" ht="13" x14ac:dyDescent="0.6">
      <c r="C442" s="6"/>
      <c r="D442" s="6"/>
      <c r="E442" s="6"/>
    </row>
    <row r="443" spans="3:5" ht="13" x14ac:dyDescent="0.6">
      <c r="C443" s="6"/>
      <c r="D443" s="6"/>
      <c r="E443" s="6"/>
    </row>
    <row r="444" spans="3:5" ht="13" x14ac:dyDescent="0.6">
      <c r="C444" s="6"/>
      <c r="D444" s="6"/>
      <c r="E444" s="6"/>
    </row>
    <row r="445" spans="3:5" ht="13" x14ac:dyDescent="0.6">
      <c r="C445" s="6"/>
      <c r="D445" s="6"/>
      <c r="E445" s="6"/>
    </row>
    <row r="446" spans="3:5" ht="13" x14ac:dyDescent="0.6">
      <c r="C446" s="6"/>
      <c r="D446" s="6"/>
      <c r="E446" s="6"/>
    </row>
    <row r="447" spans="3:5" ht="13" x14ac:dyDescent="0.6">
      <c r="C447" s="6"/>
      <c r="D447" s="6"/>
      <c r="E447" s="6"/>
    </row>
    <row r="448" spans="3:5" ht="13" x14ac:dyDescent="0.6">
      <c r="C448" s="6"/>
      <c r="D448" s="6"/>
      <c r="E448" s="6"/>
    </row>
    <row r="449" spans="3:5" ht="13" x14ac:dyDescent="0.6">
      <c r="C449" s="6"/>
      <c r="D449" s="6"/>
      <c r="E449" s="6"/>
    </row>
    <row r="450" spans="3:5" ht="13" x14ac:dyDescent="0.6">
      <c r="C450" s="6"/>
      <c r="D450" s="6"/>
      <c r="E450" s="6"/>
    </row>
    <row r="451" spans="3:5" ht="13" x14ac:dyDescent="0.6">
      <c r="C451" s="6"/>
      <c r="D451" s="6"/>
      <c r="E451" s="6"/>
    </row>
    <row r="452" spans="3:5" ht="13" x14ac:dyDescent="0.6">
      <c r="C452" s="6"/>
      <c r="D452" s="6"/>
      <c r="E452" s="6"/>
    </row>
    <row r="453" spans="3:5" ht="13" x14ac:dyDescent="0.6">
      <c r="C453" s="6"/>
      <c r="D453" s="6"/>
      <c r="E453" s="6"/>
    </row>
    <row r="454" spans="3:5" ht="13" x14ac:dyDescent="0.6">
      <c r="C454" s="6"/>
      <c r="D454" s="6"/>
      <c r="E454" s="6"/>
    </row>
    <row r="455" spans="3:5" ht="13" x14ac:dyDescent="0.6">
      <c r="C455" s="6"/>
      <c r="D455" s="6"/>
      <c r="E455" s="6"/>
    </row>
    <row r="456" spans="3:5" ht="13" x14ac:dyDescent="0.6">
      <c r="C456" s="6"/>
      <c r="D456" s="6"/>
      <c r="E456" s="6"/>
    </row>
    <row r="457" spans="3:5" ht="13" x14ac:dyDescent="0.6">
      <c r="C457" s="6"/>
      <c r="D457" s="6"/>
      <c r="E457" s="6"/>
    </row>
    <row r="458" spans="3:5" ht="13" x14ac:dyDescent="0.6">
      <c r="C458" s="6"/>
      <c r="D458" s="6"/>
      <c r="E458" s="6"/>
    </row>
    <row r="459" spans="3:5" ht="13" x14ac:dyDescent="0.6">
      <c r="C459" s="6"/>
      <c r="D459" s="6"/>
      <c r="E459" s="6"/>
    </row>
    <row r="460" spans="3:5" ht="13" x14ac:dyDescent="0.6">
      <c r="C460" s="6"/>
      <c r="D460" s="6"/>
      <c r="E460" s="6"/>
    </row>
    <row r="461" spans="3:5" ht="13" x14ac:dyDescent="0.6">
      <c r="C461" s="6"/>
      <c r="D461" s="6"/>
      <c r="E461" s="6"/>
    </row>
    <row r="462" spans="3:5" ht="13" x14ac:dyDescent="0.6">
      <c r="C462" s="6"/>
      <c r="D462" s="6"/>
      <c r="E462" s="6"/>
    </row>
    <row r="463" spans="3:5" ht="13" x14ac:dyDescent="0.6">
      <c r="C463" s="6"/>
      <c r="D463" s="6"/>
      <c r="E463" s="6"/>
    </row>
    <row r="464" spans="3:5" ht="13" x14ac:dyDescent="0.6">
      <c r="C464" s="6"/>
      <c r="D464" s="6"/>
      <c r="E464" s="6"/>
    </row>
    <row r="465" spans="3:5" ht="13" x14ac:dyDescent="0.6">
      <c r="C465" s="6"/>
      <c r="D465" s="6"/>
      <c r="E465" s="6"/>
    </row>
    <row r="466" spans="3:5" ht="13" x14ac:dyDescent="0.6">
      <c r="C466" s="6"/>
      <c r="D466" s="6"/>
      <c r="E466" s="6"/>
    </row>
    <row r="467" spans="3:5" ht="13" x14ac:dyDescent="0.6">
      <c r="C467" s="6"/>
      <c r="D467" s="6"/>
      <c r="E467" s="6"/>
    </row>
    <row r="468" spans="3:5" ht="13" x14ac:dyDescent="0.6">
      <c r="C468" s="6"/>
      <c r="D468" s="6"/>
      <c r="E468" s="6"/>
    </row>
    <row r="469" spans="3:5" ht="13" x14ac:dyDescent="0.6">
      <c r="C469" s="6"/>
      <c r="D469" s="6"/>
      <c r="E469" s="6"/>
    </row>
    <row r="470" spans="3:5" ht="13" x14ac:dyDescent="0.6">
      <c r="C470" s="6"/>
      <c r="D470" s="6"/>
      <c r="E470" s="6"/>
    </row>
    <row r="471" spans="3:5" ht="13" x14ac:dyDescent="0.6">
      <c r="C471" s="6"/>
      <c r="D471" s="6"/>
      <c r="E471" s="6"/>
    </row>
    <row r="472" spans="3:5" ht="13" x14ac:dyDescent="0.6">
      <c r="C472" s="6"/>
      <c r="D472" s="6"/>
      <c r="E472" s="6"/>
    </row>
    <row r="473" spans="3:5" ht="13" x14ac:dyDescent="0.6">
      <c r="C473" s="6"/>
      <c r="D473" s="6"/>
      <c r="E473" s="6"/>
    </row>
    <row r="474" spans="3:5" ht="13" x14ac:dyDescent="0.6">
      <c r="C474" s="6"/>
      <c r="D474" s="6"/>
      <c r="E474" s="6"/>
    </row>
    <row r="475" spans="3:5" ht="13" x14ac:dyDescent="0.6">
      <c r="C475" s="6"/>
      <c r="D475" s="6"/>
      <c r="E475" s="6"/>
    </row>
    <row r="476" spans="3:5" ht="13" x14ac:dyDescent="0.6">
      <c r="C476" s="6"/>
      <c r="D476" s="6"/>
      <c r="E476" s="6"/>
    </row>
    <row r="477" spans="3:5" ht="13" x14ac:dyDescent="0.6">
      <c r="C477" s="6"/>
      <c r="D477" s="6"/>
      <c r="E477" s="6"/>
    </row>
    <row r="478" spans="3:5" ht="13" x14ac:dyDescent="0.6">
      <c r="C478" s="6"/>
      <c r="D478" s="6"/>
      <c r="E478" s="6"/>
    </row>
    <row r="479" spans="3:5" ht="13" x14ac:dyDescent="0.6">
      <c r="C479" s="6"/>
      <c r="D479" s="6"/>
      <c r="E479" s="6"/>
    </row>
    <row r="480" spans="3:5" ht="13" x14ac:dyDescent="0.6">
      <c r="C480" s="6"/>
      <c r="D480" s="6"/>
      <c r="E480" s="6"/>
    </row>
    <row r="481" spans="3:5" ht="13" x14ac:dyDescent="0.6">
      <c r="C481" s="6"/>
      <c r="D481" s="6"/>
      <c r="E481" s="6"/>
    </row>
    <row r="482" spans="3:5" ht="13" x14ac:dyDescent="0.6">
      <c r="C482" s="6"/>
      <c r="D482" s="6"/>
      <c r="E482" s="6"/>
    </row>
    <row r="483" spans="3:5" ht="13" x14ac:dyDescent="0.6">
      <c r="C483" s="6"/>
      <c r="D483" s="6"/>
      <c r="E483" s="6"/>
    </row>
    <row r="484" spans="3:5" ht="13" x14ac:dyDescent="0.6">
      <c r="C484" s="6"/>
      <c r="D484" s="6"/>
      <c r="E484" s="6"/>
    </row>
    <row r="485" spans="3:5" ht="13" x14ac:dyDescent="0.6">
      <c r="C485" s="6"/>
      <c r="D485" s="6"/>
      <c r="E485" s="6"/>
    </row>
    <row r="486" spans="3:5" ht="13" x14ac:dyDescent="0.6">
      <c r="C486" s="6"/>
      <c r="D486" s="6"/>
      <c r="E486" s="6"/>
    </row>
    <row r="487" spans="3:5" ht="13" x14ac:dyDescent="0.6">
      <c r="C487" s="6"/>
      <c r="D487" s="6"/>
      <c r="E487" s="6"/>
    </row>
    <row r="488" spans="3:5" ht="13" x14ac:dyDescent="0.6">
      <c r="C488" s="6"/>
      <c r="D488" s="6"/>
      <c r="E488" s="6"/>
    </row>
    <row r="489" spans="3:5" ht="13" x14ac:dyDescent="0.6">
      <c r="C489" s="6"/>
      <c r="D489" s="6"/>
      <c r="E489" s="6"/>
    </row>
    <row r="490" spans="3:5" ht="13" x14ac:dyDescent="0.6">
      <c r="C490" s="6"/>
      <c r="D490" s="6"/>
      <c r="E490" s="6"/>
    </row>
    <row r="491" spans="3:5" ht="13" x14ac:dyDescent="0.6">
      <c r="C491" s="6"/>
      <c r="D491" s="6"/>
      <c r="E491" s="6"/>
    </row>
    <row r="492" spans="3:5" ht="13" x14ac:dyDescent="0.6">
      <c r="C492" s="6"/>
      <c r="D492" s="6"/>
      <c r="E492" s="6"/>
    </row>
    <row r="493" spans="3:5" ht="13" x14ac:dyDescent="0.6">
      <c r="C493" s="6"/>
      <c r="D493" s="6"/>
      <c r="E493" s="6"/>
    </row>
    <row r="494" spans="3:5" ht="13" x14ac:dyDescent="0.6">
      <c r="C494" s="6"/>
      <c r="D494" s="6"/>
      <c r="E494" s="6"/>
    </row>
    <row r="495" spans="3:5" ht="13" x14ac:dyDescent="0.6">
      <c r="C495" s="6"/>
      <c r="D495" s="6"/>
      <c r="E495" s="6"/>
    </row>
    <row r="496" spans="3:5" ht="13" x14ac:dyDescent="0.6">
      <c r="C496" s="6"/>
      <c r="D496" s="6"/>
      <c r="E496" s="6"/>
    </row>
    <row r="497" spans="3:5" ht="13" x14ac:dyDescent="0.6">
      <c r="C497" s="6"/>
      <c r="D497" s="6"/>
      <c r="E497" s="6"/>
    </row>
    <row r="498" spans="3:5" ht="13" x14ac:dyDescent="0.6">
      <c r="C498" s="6"/>
      <c r="D498" s="6"/>
      <c r="E498" s="6"/>
    </row>
    <row r="499" spans="3:5" ht="13" x14ac:dyDescent="0.6">
      <c r="C499" s="6"/>
      <c r="D499" s="6"/>
      <c r="E499" s="6"/>
    </row>
    <row r="500" spans="3:5" ht="13" x14ac:dyDescent="0.6">
      <c r="C500" s="6"/>
      <c r="D500" s="6"/>
      <c r="E500" s="6"/>
    </row>
    <row r="501" spans="3:5" ht="13" x14ac:dyDescent="0.6">
      <c r="C501" s="6"/>
      <c r="D501" s="6"/>
      <c r="E501" s="6"/>
    </row>
    <row r="502" spans="3:5" ht="13" x14ac:dyDescent="0.6">
      <c r="C502" s="6"/>
      <c r="D502" s="6"/>
      <c r="E502" s="6"/>
    </row>
    <row r="503" spans="3:5" ht="13" x14ac:dyDescent="0.6">
      <c r="C503" s="6"/>
      <c r="D503" s="6"/>
      <c r="E503" s="6"/>
    </row>
    <row r="504" spans="3:5" ht="13" x14ac:dyDescent="0.6">
      <c r="C504" s="6"/>
      <c r="D504" s="6"/>
      <c r="E504" s="6"/>
    </row>
    <row r="505" spans="3:5" ht="13" x14ac:dyDescent="0.6">
      <c r="C505" s="6"/>
      <c r="D505" s="6"/>
      <c r="E505" s="6"/>
    </row>
    <row r="506" spans="3:5" ht="13" x14ac:dyDescent="0.6">
      <c r="C506" s="6"/>
      <c r="D506" s="6"/>
      <c r="E506" s="6"/>
    </row>
    <row r="507" spans="3:5" ht="13" x14ac:dyDescent="0.6">
      <c r="C507" s="6"/>
      <c r="D507" s="6"/>
      <c r="E507" s="6"/>
    </row>
    <row r="508" spans="3:5" ht="13" x14ac:dyDescent="0.6">
      <c r="C508" s="6"/>
      <c r="D508" s="6"/>
      <c r="E508" s="6"/>
    </row>
    <row r="509" spans="3:5" ht="13" x14ac:dyDescent="0.6">
      <c r="C509" s="6"/>
      <c r="D509" s="6"/>
      <c r="E509" s="6"/>
    </row>
    <row r="510" spans="3:5" ht="13" x14ac:dyDescent="0.6">
      <c r="C510" s="6"/>
      <c r="D510" s="6"/>
      <c r="E510" s="6"/>
    </row>
    <row r="511" spans="3:5" ht="13" x14ac:dyDescent="0.6">
      <c r="C511" s="6"/>
      <c r="D511" s="6"/>
      <c r="E511" s="6"/>
    </row>
    <row r="512" spans="3:5" ht="13" x14ac:dyDescent="0.6">
      <c r="C512" s="6"/>
      <c r="D512" s="6"/>
      <c r="E512" s="6"/>
    </row>
    <row r="513" spans="3:5" ht="13" x14ac:dyDescent="0.6">
      <c r="C513" s="6"/>
      <c r="D513" s="6"/>
      <c r="E513" s="6"/>
    </row>
    <row r="514" spans="3:5" ht="13" x14ac:dyDescent="0.6">
      <c r="C514" s="6"/>
      <c r="D514" s="6"/>
      <c r="E514" s="6"/>
    </row>
    <row r="515" spans="3:5" ht="13" x14ac:dyDescent="0.6">
      <c r="C515" s="6"/>
      <c r="D515" s="6"/>
      <c r="E515" s="6"/>
    </row>
    <row r="516" spans="3:5" ht="13" x14ac:dyDescent="0.6">
      <c r="C516" s="6"/>
      <c r="D516" s="6"/>
      <c r="E516" s="6"/>
    </row>
    <row r="517" spans="3:5" ht="13" x14ac:dyDescent="0.6">
      <c r="C517" s="6"/>
      <c r="D517" s="6"/>
      <c r="E517" s="6"/>
    </row>
    <row r="518" spans="3:5" ht="13" x14ac:dyDescent="0.6">
      <c r="C518" s="6"/>
      <c r="D518" s="6"/>
      <c r="E518" s="6"/>
    </row>
    <row r="519" spans="3:5" ht="13" x14ac:dyDescent="0.6">
      <c r="C519" s="6"/>
      <c r="D519" s="6"/>
      <c r="E519" s="6"/>
    </row>
    <row r="520" spans="3:5" ht="13" x14ac:dyDescent="0.6">
      <c r="C520" s="6"/>
      <c r="D520" s="6"/>
      <c r="E520" s="6"/>
    </row>
    <row r="521" spans="3:5" ht="13" x14ac:dyDescent="0.6">
      <c r="C521" s="6"/>
      <c r="D521" s="6"/>
      <c r="E521" s="6"/>
    </row>
    <row r="522" spans="3:5" ht="13" x14ac:dyDescent="0.6">
      <c r="C522" s="6"/>
      <c r="D522" s="6"/>
      <c r="E522" s="6"/>
    </row>
    <row r="523" spans="3:5" ht="13" x14ac:dyDescent="0.6">
      <c r="C523" s="6"/>
      <c r="D523" s="6"/>
      <c r="E523" s="6"/>
    </row>
    <row r="524" spans="3:5" ht="13" x14ac:dyDescent="0.6">
      <c r="C524" s="6"/>
      <c r="D524" s="6"/>
      <c r="E524" s="6"/>
    </row>
    <row r="525" spans="3:5" ht="13" x14ac:dyDescent="0.6">
      <c r="C525" s="6"/>
      <c r="D525" s="6"/>
      <c r="E525" s="6"/>
    </row>
    <row r="526" spans="3:5" ht="13" x14ac:dyDescent="0.6">
      <c r="C526" s="6"/>
      <c r="D526" s="6"/>
      <c r="E526" s="6"/>
    </row>
    <row r="527" spans="3:5" ht="13" x14ac:dyDescent="0.6">
      <c r="C527" s="6"/>
      <c r="D527" s="6"/>
      <c r="E527" s="6"/>
    </row>
    <row r="528" spans="3:5" ht="13" x14ac:dyDescent="0.6">
      <c r="C528" s="6"/>
      <c r="D528" s="6"/>
      <c r="E528" s="6"/>
    </row>
    <row r="529" spans="3:5" ht="13" x14ac:dyDescent="0.6">
      <c r="C529" s="6"/>
      <c r="D529" s="6"/>
      <c r="E529" s="6"/>
    </row>
    <row r="530" spans="3:5" ht="13" x14ac:dyDescent="0.6">
      <c r="C530" s="6"/>
      <c r="D530" s="6"/>
      <c r="E530" s="6"/>
    </row>
    <row r="531" spans="3:5" ht="13" x14ac:dyDescent="0.6">
      <c r="C531" s="6"/>
      <c r="D531" s="6"/>
      <c r="E531" s="6"/>
    </row>
    <row r="532" spans="3:5" ht="13" x14ac:dyDescent="0.6">
      <c r="C532" s="6"/>
      <c r="D532" s="6"/>
      <c r="E532" s="6"/>
    </row>
    <row r="533" spans="3:5" ht="13" x14ac:dyDescent="0.6">
      <c r="C533" s="6"/>
      <c r="D533" s="6"/>
      <c r="E533" s="6"/>
    </row>
    <row r="534" spans="3:5" ht="13" x14ac:dyDescent="0.6">
      <c r="C534" s="6"/>
      <c r="D534" s="6"/>
      <c r="E534" s="6"/>
    </row>
    <row r="535" spans="3:5" ht="13" x14ac:dyDescent="0.6">
      <c r="C535" s="6"/>
      <c r="D535" s="6"/>
      <c r="E535" s="6"/>
    </row>
    <row r="536" spans="3:5" ht="13" x14ac:dyDescent="0.6">
      <c r="C536" s="6"/>
      <c r="D536" s="6"/>
      <c r="E536" s="6"/>
    </row>
    <row r="537" spans="3:5" ht="13" x14ac:dyDescent="0.6">
      <c r="C537" s="6"/>
      <c r="D537" s="6"/>
      <c r="E537" s="6"/>
    </row>
    <row r="538" spans="3:5" ht="13" x14ac:dyDescent="0.6">
      <c r="C538" s="6"/>
      <c r="D538" s="6"/>
      <c r="E538" s="6"/>
    </row>
    <row r="539" spans="3:5" ht="13" x14ac:dyDescent="0.6">
      <c r="C539" s="6"/>
      <c r="D539" s="6"/>
      <c r="E539" s="6"/>
    </row>
    <row r="540" spans="3:5" ht="13" x14ac:dyDescent="0.6">
      <c r="C540" s="6"/>
      <c r="D540" s="6"/>
      <c r="E540" s="6"/>
    </row>
    <row r="541" spans="3:5" ht="13" x14ac:dyDescent="0.6">
      <c r="C541" s="6"/>
      <c r="D541" s="6"/>
      <c r="E541" s="6"/>
    </row>
    <row r="542" spans="3:5" ht="13" x14ac:dyDescent="0.6">
      <c r="C542" s="6"/>
      <c r="D542" s="6"/>
      <c r="E542" s="6"/>
    </row>
    <row r="543" spans="3:5" ht="13" x14ac:dyDescent="0.6">
      <c r="C543" s="6"/>
      <c r="D543" s="6"/>
      <c r="E543" s="6"/>
    </row>
    <row r="544" spans="3:5" ht="13" x14ac:dyDescent="0.6">
      <c r="C544" s="6"/>
      <c r="D544" s="6"/>
      <c r="E544" s="6"/>
    </row>
    <row r="545" spans="3:5" ht="13" x14ac:dyDescent="0.6">
      <c r="C545" s="6"/>
      <c r="D545" s="6"/>
      <c r="E545" s="6"/>
    </row>
    <row r="546" spans="3:5" ht="13" x14ac:dyDescent="0.6">
      <c r="C546" s="6"/>
      <c r="D546" s="6"/>
      <c r="E546" s="6"/>
    </row>
    <row r="547" spans="3:5" ht="13" x14ac:dyDescent="0.6">
      <c r="C547" s="6"/>
      <c r="D547" s="6"/>
      <c r="E547" s="6"/>
    </row>
    <row r="548" spans="3:5" ht="13" x14ac:dyDescent="0.6">
      <c r="C548" s="6"/>
      <c r="D548" s="6"/>
      <c r="E548" s="6"/>
    </row>
    <row r="549" spans="3:5" ht="13" x14ac:dyDescent="0.6">
      <c r="C549" s="6"/>
      <c r="D549" s="6"/>
      <c r="E549" s="6"/>
    </row>
    <row r="550" spans="3:5" ht="13" x14ac:dyDescent="0.6">
      <c r="C550" s="6"/>
      <c r="D550" s="6"/>
      <c r="E550" s="6"/>
    </row>
    <row r="551" spans="3:5" ht="13" x14ac:dyDescent="0.6">
      <c r="C551" s="6"/>
      <c r="D551" s="6"/>
      <c r="E551" s="6"/>
    </row>
    <row r="552" spans="3:5" ht="13" x14ac:dyDescent="0.6">
      <c r="C552" s="6"/>
      <c r="D552" s="6"/>
      <c r="E552" s="6"/>
    </row>
    <row r="553" spans="3:5" ht="13" x14ac:dyDescent="0.6">
      <c r="C553" s="6"/>
      <c r="D553" s="6"/>
      <c r="E553" s="6"/>
    </row>
    <row r="554" spans="3:5" ht="13" x14ac:dyDescent="0.6">
      <c r="C554" s="6"/>
      <c r="D554" s="6"/>
      <c r="E554" s="6"/>
    </row>
    <row r="555" spans="3:5" ht="13" x14ac:dyDescent="0.6">
      <c r="C555" s="6"/>
      <c r="D555" s="6"/>
      <c r="E555" s="6"/>
    </row>
    <row r="556" spans="3:5" ht="13" x14ac:dyDescent="0.6">
      <c r="C556" s="6"/>
      <c r="D556" s="6"/>
      <c r="E556" s="6"/>
    </row>
    <row r="557" spans="3:5" ht="13" x14ac:dyDescent="0.6">
      <c r="C557" s="6"/>
      <c r="D557" s="6"/>
      <c r="E557" s="6"/>
    </row>
    <row r="558" spans="3:5" ht="13" x14ac:dyDescent="0.6">
      <c r="C558" s="6"/>
      <c r="D558" s="6"/>
      <c r="E558" s="6"/>
    </row>
    <row r="559" spans="3:5" ht="13" x14ac:dyDescent="0.6">
      <c r="C559" s="6"/>
      <c r="D559" s="6"/>
      <c r="E559" s="6"/>
    </row>
    <row r="560" spans="3:5" ht="13" x14ac:dyDescent="0.6">
      <c r="C560" s="6"/>
      <c r="D560" s="6"/>
      <c r="E560" s="6"/>
    </row>
    <row r="561" spans="3:5" ht="13" x14ac:dyDescent="0.6">
      <c r="C561" s="6"/>
      <c r="D561" s="6"/>
      <c r="E561" s="6"/>
    </row>
    <row r="562" spans="3:5" ht="13" x14ac:dyDescent="0.6">
      <c r="C562" s="6"/>
      <c r="D562" s="6"/>
      <c r="E562" s="6"/>
    </row>
    <row r="563" spans="3:5" ht="13" x14ac:dyDescent="0.6">
      <c r="C563" s="6"/>
      <c r="D563" s="6"/>
      <c r="E563" s="6"/>
    </row>
    <row r="564" spans="3:5" ht="13" x14ac:dyDescent="0.6">
      <c r="C564" s="6"/>
      <c r="D564" s="6"/>
      <c r="E564" s="6"/>
    </row>
    <row r="565" spans="3:5" ht="13" x14ac:dyDescent="0.6">
      <c r="C565" s="6"/>
      <c r="D565" s="6"/>
      <c r="E565" s="6"/>
    </row>
    <row r="566" spans="3:5" ht="13" x14ac:dyDescent="0.6">
      <c r="C566" s="6"/>
      <c r="D566" s="6"/>
      <c r="E566" s="6"/>
    </row>
    <row r="567" spans="3:5" ht="13" x14ac:dyDescent="0.6">
      <c r="C567" s="6"/>
      <c r="D567" s="6"/>
      <c r="E567" s="6"/>
    </row>
    <row r="568" spans="3:5" ht="13" x14ac:dyDescent="0.6">
      <c r="C568" s="6"/>
      <c r="D568" s="6"/>
      <c r="E568" s="6"/>
    </row>
    <row r="569" spans="3:5" ht="13" x14ac:dyDescent="0.6">
      <c r="C569" s="6"/>
      <c r="D569" s="6"/>
      <c r="E569" s="6"/>
    </row>
    <row r="570" spans="3:5" ht="13" x14ac:dyDescent="0.6">
      <c r="C570" s="6"/>
      <c r="D570" s="6"/>
      <c r="E570" s="6"/>
    </row>
    <row r="571" spans="3:5" ht="13" x14ac:dyDescent="0.6">
      <c r="C571" s="6"/>
      <c r="D571" s="6"/>
      <c r="E571" s="6"/>
    </row>
    <row r="572" spans="3:5" ht="13" x14ac:dyDescent="0.6">
      <c r="C572" s="6"/>
      <c r="D572" s="6"/>
      <c r="E572" s="6"/>
    </row>
    <row r="573" spans="3:5" ht="13" x14ac:dyDescent="0.6">
      <c r="C573" s="6"/>
      <c r="D573" s="6"/>
      <c r="E573" s="6"/>
    </row>
    <row r="574" spans="3:5" ht="13" x14ac:dyDescent="0.6">
      <c r="C574" s="6"/>
      <c r="D574" s="6"/>
      <c r="E574" s="6"/>
    </row>
    <row r="575" spans="3:5" ht="13" x14ac:dyDescent="0.6">
      <c r="C575" s="6"/>
      <c r="D575" s="6"/>
      <c r="E575" s="6"/>
    </row>
    <row r="576" spans="3:5" ht="13" x14ac:dyDescent="0.6">
      <c r="C576" s="6"/>
      <c r="D576" s="6"/>
      <c r="E576" s="6"/>
    </row>
    <row r="577" spans="3:5" ht="13" x14ac:dyDescent="0.6">
      <c r="C577" s="6"/>
      <c r="D577" s="6"/>
      <c r="E577" s="6"/>
    </row>
    <row r="578" spans="3:5" ht="13" x14ac:dyDescent="0.6">
      <c r="C578" s="6"/>
      <c r="D578" s="6"/>
      <c r="E578" s="6"/>
    </row>
    <row r="579" spans="3:5" ht="13" x14ac:dyDescent="0.6">
      <c r="C579" s="6"/>
      <c r="D579" s="6"/>
      <c r="E579" s="6"/>
    </row>
    <row r="580" spans="3:5" ht="13" x14ac:dyDescent="0.6">
      <c r="C580" s="6"/>
      <c r="D580" s="6"/>
      <c r="E580" s="6"/>
    </row>
    <row r="581" spans="3:5" ht="13" x14ac:dyDescent="0.6">
      <c r="C581" s="6"/>
      <c r="D581" s="6"/>
      <c r="E581" s="6"/>
    </row>
    <row r="582" spans="3:5" ht="13" x14ac:dyDescent="0.6">
      <c r="C582" s="6"/>
      <c r="D582" s="6"/>
      <c r="E582" s="6"/>
    </row>
    <row r="583" spans="3:5" ht="13" x14ac:dyDescent="0.6">
      <c r="C583" s="6"/>
      <c r="D583" s="6"/>
      <c r="E583" s="6"/>
    </row>
    <row r="584" spans="3:5" ht="13" x14ac:dyDescent="0.6">
      <c r="C584" s="6"/>
      <c r="D584" s="6"/>
      <c r="E584" s="6"/>
    </row>
    <row r="585" spans="3:5" ht="13" x14ac:dyDescent="0.6">
      <c r="C585" s="6"/>
      <c r="D585" s="6"/>
      <c r="E585" s="6"/>
    </row>
    <row r="586" spans="3:5" ht="13" x14ac:dyDescent="0.6">
      <c r="C586" s="6"/>
      <c r="D586" s="6"/>
      <c r="E586" s="6"/>
    </row>
    <row r="587" spans="3:5" ht="13" x14ac:dyDescent="0.6">
      <c r="C587" s="6"/>
      <c r="D587" s="6"/>
      <c r="E587" s="6"/>
    </row>
    <row r="588" spans="3:5" ht="13" x14ac:dyDescent="0.6">
      <c r="C588" s="6"/>
      <c r="D588" s="6"/>
      <c r="E588" s="6"/>
    </row>
    <row r="589" spans="3:5" ht="13" x14ac:dyDescent="0.6">
      <c r="C589" s="6"/>
      <c r="D589" s="6"/>
      <c r="E589" s="6"/>
    </row>
    <row r="590" spans="3:5" ht="13" x14ac:dyDescent="0.6">
      <c r="C590" s="6"/>
      <c r="D590" s="6"/>
      <c r="E590" s="6"/>
    </row>
    <row r="591" spans="3:5" ht="13" x14ac:dyDescent="0.6">
      <c r="C591" s="6"/>
      <c r="D591" s="6"/>
      <c r="E591" s="6"/>
    </row>
    <row r="592" spans="3:5" ht="13" x14ac:dyDescent="0.6">
      <c r="C592" s="6"/>
      <c r="D592" s="6"/>
      <c r="E592" s="6"/>
    </row>
    <row r="593" spans="3:5" ht="13" x14ac:dyDescent="0.6">
      <c r="C593" s="6"/>
      <c r="D593" s="6"/>
      <c r="E593" s="6"/>
    </row>
    <row r="594" spans="3:5" ht="13" x14ac:dyDescent="0.6">
      <c r="C594" s="6"/>
      <c r="D594" s="6"/>
      <c r="E594" s="6"/>
    </row>
    <row r="595" spans="3:5" ht="13" x14ac:dyDescent="0.6">
      <c r="C595" s="6"/>
      <c r="D595" s="6"/>
      <c r="E595" s="6"/>
    </row>
    <row r="596" spans="3:5" ht="13" x14ac:dyDescent="0.6">
      <c r="C596" s="6"/>
      <c r="D596" s="6"/>
      <c r="E596" s="6"/>
    </row>
    <row r="597" spans="3:5" ht="13" x14ac:dyDescent="0.6">
      <c r="C597" s="6"/>
      <c r="D597" s="6"/>
      <c r="E597" s="6"/>
    </row>
    <row r="598" spans="3:5" ht="13" x14ac:dyDescent="0.6">
      <c r="C598" s="6"/>
      <c r="D598" s="6"/>
      <c r="E598" s="6"/>
    </row>
    <row r="599" spans="3:5" ht="13" x14ac:dyDescent="0.6">
      <c r="C599" s="6"/>
      <c r="D599" s="6"/>
      <c r="E599" s="6"/>
    </row>
    <row r="600" spans="3:5" ht="13" x14ac:dyDescent="0.6">
      <c r="C600" s="6"/>
      <c r="D600" s="6"/>
      <c r="E600" s="6"/>
    </row>
    <row r="601" spans="3:5" ht="13" x14ac:dyDescent="0.6">
      <c r="C601" s="6"/>
      <c r="D601" s="6"/>
      <c r="E601" s="6"/>
    </row>
    <row r="602" spans="3:5" ht="13" x14ac:dyDescent="0.6">
      <c r="C602" s="6"/>
      <c r="D602" s="6"/>
      <c r="E602" s="6"/>
    </row>
    <row r="603" spans="3:5" ht="13" x14ac:dyDescent="0.6">
      <c r="C603" s="6"/>
      <c r="D603" s="6"/>
      <c r="E603" s="6"/>
    </row>
    <row r="604" spans="3:5" ht="13" x14ac:dyDescent="0.6">
      <c r="C604" s="6"/>
      <c r="D604" s="6"/>
      <c r="E604" s="6"/>
    </row>
    <row r="605" spans="3:5" ht="13" x14ac:dyDescent="0.6">
      <c r="C605" s="6"/>
      <c r="D605" s="6"/>
      <c r="E605" s="6"/>
    </row>
    <row r="606" spans="3:5" ht="13" x14ac:dyDescent="0.6">
      <c r="C606" s="6"/>
      <c r="D606" s="6"/>
      <c r="E606" s="6"/>
    </row>
    <row r="607" spans="3:5" ht="13" x14ac:dyDescent="0.6">
      <c r="C607" s="6"/>
      <c r="D607" s="6"/>
      <c r="E607" s="6"/>
    </row>
    <row r="608" spans="3:5" ht="13" x14ac:dyDescent="0.6">
      <c r="C608" s="6"/>
      <c r="D608" s="6"/>
      <c r="E608" s="6"/>
    </row>
    <row r="609" spans="3:5" ht="13" x14ac:dyDescent="0.6">
      <c r="C609" s="6"/>
      <c r="D609" s="6"/>
      <c r="E609" s="6"/>
    </row>
    <row r="610" spans="3:5" ht="13" x14ac:dyDescent="0.6">
      <c r="C610" s="6"/>
      <c r="D610" s="6"/>
      <c r="E610" s="6"/>
    </row>
    <row r="611" spans="3:5" ht="13" x14ac:dyDescent="0.6">
      <c r="C611" s="6"/>
      <c r="D611" s="6"/>
      <c r="E611" s="6"/>
    </row>
    <row r="612" spans="3:5" ht="13" x14ac:dyDescent="0.6">
      <c r="C612" s="6"/>
      <c r="D612" s="6"/>
      <c r="E612" s="6"/>
    </row>
    <row r="613" spans="3:5" ht="13" x14ac:dyDescent="0.6">
      <c r="C613" s="6"/>
      <c r="D613" s="6"/>
      <c r="E613" s="6"/>
    </row>
    <row r="614" spans="3:5" ht="13" x14ac:dyDescent="0.6">
      <c r="C614" s="6"/>
      <c r="D614" s="6"/>
      <c r="E614" s="6"/>
    </row>
    <row r="615" spans="3:5" ht="13" x14ac:dyDescent="0.6">
      <c r="C615" s="6"/>
      <c r="D615" s="6"/>
      <c r="E615" s="6"/>
    </row>
    <row r="616" spans="3:5" ht="13" x14ac:dyDescent="0.6">
      <c r="C616" s="6"/>
      <c r="D616" s="6"/>
      <c r="E616" s="6"/>
    </row>
    <row r="617" spans="3:5" ht="13" x14ac:dyDescent="0.6">
      <c r="C617" s="6"/>
      <c r="D617" s="6"/>
      <c r="E617" s="6"/>
    </row>
    <row r="618" spans="3:5" ht="13" x14ac:dyDescent="0.6">
      <c r="C618" s="6"/>
      <c r="D618" s="6"/>
      <c r="E618" s="6"/>
    </row>
    <row r="619" spans="3:5" ht="13" x14ac:dyDescent="0.6">
      <c r="C619" s="6"/>
      <c r="D619" s="6"/>
      <c r="E619" s="6"/>
    </row>
    <row r="620" spans="3:5" ht="13" x14ac:dyDescent="0.6">
      <c r="C620" s="6"/>
      <c r="D620" s="6"/>
      <c r="E620" s="6"/>
    </row>
    <row r="621" spans="3:5" ht="13" x14ac:dyDescent="0.6">
      <c r="C621" s="6"/>
      <c r="D621" s="6"/>
      <c r="E621" s="6"/>
    </row>
    <row r="622" spans="3:5" ht="13" x14ac:dyDescent="0.6">
      <c r="C622" s="6"/>
      <c r="D622" s="6"/>
      <c r="E622" s="6"/>
    </row>
    <row r="623" spans="3:5" ht="13" x14ac:dyDescent="0.6">
      <c r="C623" s="6"/>
      <c r="D623" s="6"/>
      <c r="E623" s="6"/>
    </row>
    <row r="624" spans="3:5" ht="13" x14ac:dyDescent="0.6">
      <c r="C624" s="6"/>
      <c r="D624" s="6"/>
      <c r="E624" s="6"/>
    </row>
    <row r="625" spans="3:5" ht="13" x14ac:dyDescent="0.6">
      <c r="C625" s="6"/>
      <c r="D625" s="6"/>
      <c r="E625" s="6"/>
    </row>
    <row r="626" spans="3:5" ht="13" x14ac:dyDescent="0.6">
      <c r="C626" s="6"/>
      <c r="D626" s="6"/>
      <c r="E626" s="6"/>
    </row>
    <row r="627" spans="3:5" ht="13" x14ac:dyDescent="0.6">
      <c r="C627" s="6"/>
      <c r="D627" s="6"/>
      <c r="E627" s="6"/>
    </row>
    <row r="628" spans="3:5" ht="13" x14ac:dyDescent="0.6">
      <c r="C628" s="6"/>
      <c r="D628" s="6"/>
      <c r="E628" s="6"/>
    </row>
    <row r="629" spans="3:5" ht="13" x14ac:dyDescent="0.6">
      <c r="C629" s="6"/>
      <c r="D629" s="6"/>
      <c r="E629" s="6"/>
    </row>
    <row r="630" spans="3:5" ht="13" x14ac:dyDescent="0.6">
      <c r="C630" s="6"/>
      <c r="D630" s="6"/>
      <c r="E630" s="6"/>
    </row>
    <row r="631" spans="3:5" ht="13" x14ac:dyDescent="0.6">
      <c r="C631" s="6"/>
      <c r="D631" s="6"/>
      <c r="E631" s="6"/>
    </row>
    <row r="632" spans="3:5" ht="13" x14ac:dyDescent="0.6">
      <c r="C632" s="6"/>
      <c r="D632" s="6"/>
      <c r="E632" s="6"/>
    </row>
    <row r="633" spans="3:5" ht="13" x14ac:dyDescent="0.6">
      <c r="C633" s="6"/>
      <c r="D633" s="6"/>
      <c r="E633" s="6"/>
    </row>
    <row r="634" spans="3:5" ht="13" x14ac:dyDescent="0.6">
      <c r="C634" s="6"/>
      <c r="D634" s="6"/>
      <c r="E634" s="6"/>
    </row>
    <row r="635" spans="3:5" ht="13" x14ac:dyDescent="0.6">
      <c r="C635" s="6"/>
      <c r="D635" s="6"/>
      <c r="E635" s="6"/>
    </row>
    <row r="636" spans="3:5" ht="13" x14ac:dyDescent="0.6">
      <c r="C636" s="6"/>
      <c r="D636" s="6"/>
      <c r="E636" s="6"/>
    </row>
    <row r="637" spans="3:5" ht="13" x14ac:dyDescent="0.6">
      <c r="C637" s="6"/>
      <c r="D637" s="6"/>
      <c r="E637" s="6"/>
    </row>
    <row r="638" spans="3:5" ht="13" x14ac:dyDescent="0.6">
      <c r="C638" s="6"/>
      <c r="D638" s="6"/>
      <c r="E638" s="6"/>
    </row>
    <row r="639" spans="3:5" ht="13" x14ac:dyDescent="0.6">
      <c r="C639" s="6"/>
      <c r="D639" s="6"/>
      <c r="E639" s="6"/>
    </row>
    <row r="640" spans="3:5" ht="13" x14ac:dyDescent="0.6">
      <c r="C640" s="6"/>
      <c r="D640" s="6"/>
      <c r="E640" s="6"/>
    </row>
    <row r="641" spans="3:5" ht="13" x14ac:dyDescent="0.6">
      <c r="C641" s="6"/>
      <c r="D641" s="6"/>
      <c r="E641" s="6"/>
    </row>
    <row r="642" spans="3:5" ht="13" x14ac:dyDescent="0.6">
      <c r="C642" s="6"/>
      <c r="D642" s="6"/>
      <c r="E642" s="6"/>
    </row>
    <row r="643" spans="3:5" ht="13" x14ac:dyDescent="0.6">
      <c r="C643" s="6"/>
      <c r="D643" s="6"/>
      <c r="E643" s="6"/>
    </row>
    <row r="644" spans="3:5" ht="13" x14ac:dyDescent="0.6">
      <c r="C644" s="6"/>
      <c r="D644" s="6"/>
      <c r="E644" s="6"/>
    </row>
    <row r="645" spans="3:5" ht="13" x14ac:dyDescent="0.6">
      <c r="C645" s="6"/>
      <c r="D645" s="6"/>
      <c r="E645" s="6"/>
    </row>
    <row r="646" spans="3:5" ht="13" x14ac:dyDescent="0.6">
      <c r="C646" s="6"/>
      <c r="D646" s="6"/>
      <c r="E646" s="6"/>
    </row>
    <row r="647" spans="3:5" ht="13" x14ac:dyDescent="0.6">
      <c r="C647" s="6"/>
      <c r="D647" s="6"/>
      <c r="E647" s="6"/>
    </row>
    <row r="648" spans="3:5" ht="13" x14ac:dyDescent="0.6">
      <c r="C648" s="6"/>
      <c r="D648" s="6"/>
      <c r="E648" s="6"/>
    </row>
    <row r="649" spans="3:5" ht="13" x14ac:dyDescent="0.6">
      <c r="C649" s="6"/>
      <c r="D649" s="6"/>
      <c r="E649" s="6"/>
    </row>
    <row r="650" spans="3:5" ht="13" x14ac:dyDescent="0.6">
      <c r="C650" s="6"/>
      <c r="D650" s="6"/>
      <c r="E650" s="6"/>
    </row>
    <row r="651" spans="3:5" ht="13" x14ac:dyDescent="0.6">
      <c r="C651" s="6"/>
      <c r="D651" s="6"/>
      <c r="E651" s="6"/>
    </row>
    <row r="652" spans="3:5" ht="13" x14ac:dyDescent="0.6">
      <c r="C652" s="6"/>
      <c r="D652" s="6"/>
      <c r="E652" s="6"/>
    </row>
    <row r="653" spans="3:5" ht="13" x14ac:dyDescent="0.6">
      <c r="C653" s="6"/>
      <c r="D653" s="6"/>
      <c r="E653" s="6"/>
    </row>
    <row r="654" spans="3:5" ht="13" x14ac:dyDescent="0.6">
      <c r="C654" s="6"/>
      <c r="D654" s="6"/>
      <c r="E654" s="6"/>
    </row>
    <row r="655" spans="3:5" ht="13" x14ac:dyDescent="0.6">
      <c r="C655" s="6"/>
      <c r="D655" s="6"/>
      <c r="E655" s="6"/>
    </row>
    <row r="656" spans="3:5" ht="13" x14ac:dyDescent="0.6">
      <c r="C656" s="6"/>
      <c r="D656" s="6"/>
      <c r="E656" s="6"/>
    </row>
    <row r="657" spans="3:5" ht="13" x14ac:dyDescent="0.6">
      <c r="C657" s="6"/>
      <c r="D657" s="6"/>
      <c r="E657" s="6"/>
    </row>
    <row r="658" spans="3:5" ht="13" x14ac:dyDescent="0.6">
      <c r="C658" s="6"/>
      <c r="D658" s="6"/>
      <c r="E658" s="6"/>
    </row>
    <row r="659" spans="3:5" ht="13" x14ac:dyDescent="0.6">
      <c r="C659" s="6"/>
      <c r="D659" s="6"/>
      <c r="E659" s="6"/>
    </row>
    <row r="660" spans="3:5" ht="13" x14ac:dyDescent="0.6">
      <c r="C660" s="6"/>
      <c r="D660" s="6"/>
      <c r="E660" s="6"/>
    </row>
    <row r="661" spans="3:5" ht="13" x14ac:dyDescent="0.6">
      <c r="C661" s="6"/>
      <c r="D661" s="6"/>
      <c r="E661" s="6"/>
    </row>
    <row r="662" spans="3:5" ht="13" x14ac:dyDescent="0.6">
      <c r="C662" s="6"/>
      <c r="D662" s="6"/>
      <c r="E662" s="6"/>
    </row>
    <row r="663" spans="3:5" ht="13" x14ac:dyDescent="0.6">
      <c r="C663" s="6"/>
      <c r="D663" s="6"/>
      <c r="E663" s="6"/>
    </row>
    <row r="664" spans="3:5" ht="13" x14ac:dyDescent="0.6">
      <c r="C664" s="6"/>
      <c r="D664" s="6"/>
      <c r="E664" s="6"/>
    </row>
    <row r="665" spans="3:5" ht="13" x14ac:dyDescent="0.6">
      <c r="C665" s="6"/>
      <c r="D665" s="6"/>
      <c r="E665" s="6"/>
    </row>
    <row r="666" spans="3:5" ht="13" x14ac:dyDescent="0.6">
      <c r="C666" s="6"/>
      <c r="D666" s="6"/>
      <c r="E666" s="6"/>
    </row>
    <row r="667" spans="3:5" ht="13" x14ac:dyDescent="0.6">
      <c r="C667" s="6"/>
      <c r="D667" s="6"/>
      <c r="E667" s="6"/>
    </row>
    <row r="668" spans="3:5" ht="13" x14ac:dyDescent="0.6">
      <c r="C668" s="6"/>
      <c r="D668" s="6"/>
      <c r="E668" s="6"/>
    </row>
    <row r="669" spans="3:5" ht="13" x14ac:dyDescent="0.6">
      <c r="C669" s="6"/>
      <c r="D669" s="6"/>
      <c r="E669" s="6"/>
    </row>
    <row r="670" spans="3:5" ht="13" x14ac:dyDescent="0.6">
      <c r="C670" s="6"/>
      <c r="D670" s="6"/>
      <c r="E670" s="6"/>
    </row>
    <row r="671" spans="3:5" ht="13" x14ac:dyDescent="0.6">
      <c r="C671" s="6"/>
      <c r="D671" s="6"/>
      <c r="E671" s="6"/>
    </row>
    <row r="672" spans="3:5" ht="13" x14ac:dyDescent="0.6">
      <c r="C672" s="6"/>
      <c r="D672" s="6"/>
      <c r="E672" s="6"/>
    </row>
    <row r="673" spans="3:5" ht="13" x14ac:dyDescent="0.6">
      <c r="C673" s="6"/>
      <c r="D673" s="6"/>
      <c r="E673" s="6"/>
    </row>
    <row r="674" spans="3:5" ht="13" x14ac:dyDescent="0.6">
      <c r="C674" s="6"/>
      <c r="D674" s="6"/>
      <c r="E674" s="6"/>
    </row>
    <row r="675" spans="3:5" ht="13" x14ac:dyDescent="0.6">
      <c r="C675" s="6"/>
      <c r="D675" s="6"/>
      <c r="E675" s="6"/>
    </row>
    <row r="676" spans="3:5" ht="13" x14ac:dyDescent="0.6">
      <c r="C676" s="6"/>
      <c r="D676" s="6"/>
      <c r="E676" s="6"/>
    </row>
    <row r="677" spans="3:5" ht="13" x14ac:dyDescent="0.6">
      <c r="C677" s="6"/>
      <c r="D677" s="6"/>
      <c r="E677" s="6"/>
    </row>
    <row r="678" spans="3:5" ht="13" x14ac:dyDescent="0.6">
      <c r="C678" s="6"/>
      <c r="D678" s="6"/>
      <c r="E678" s="6"/>
    </row>
    <row r="679" spans="3:5" ht="13" x14ac:dyDescent="0.6">
      <c r="C679" s="6"/>
      <c r="D679" s="6"/>
      <c r="E679" s="6"/>
    </row>
    <row r="680" spans="3:5" ht="13" x14ac:dyDescent="0.6">
      <c r="C680" s="6"/>
      <c r="D680" s="6"/>
      <c r="E680" s="6"/>
    </row>
    <row r="681" spans="3:5" ht="13" x14ac:dyDescent="0.6">
      <c r="C681" s="6"/>
      <c r="D681" s="6"/>
      <c r="E681" s="6"/>
    </row>
    <row r="682" spans="3:5" ht="13" x14ac:dyDescent="0.6">
      <c r="C682" s="6"/>
      <c r="D682" s="6"/>
      <c r="E682" s="6"/>
    </row>
    <row r="683" spans="3:5" ht="13" x14ac:dyDescent="0.6">
      <c r="C683" s="6"/>
      <c r="D683" s="6"/>
      <c r="E683" s="6"/>
    </row>
    <row r="684" spans="3:5" ht="13" x14ac:dyDescent="0.6">
      <c r="C684" s="6"/>
      <c r="D684" s="6"/>
      <c r="E684" s="6"/>
    </row>
    <row r="685" spans="3:5" ht="13" x14ac:dyDescent="0.6">
      <c r="C685" s="6"/>
      <c r="D685" s="6"/>
      <c r="E685" s="6"/>
    </row>
    <row r="686" spans="3:5" ht="13" x14ac:dyDescent="0.6">
      <c r="C686" s="6"/>
      <c r="D686" s="6"/>
      <c r="E686" s="6"/>
    </row>
    <row r="687" spans="3:5" ht="13" x14ac:dyDescent="0.6">
      <c r="C687" s="6"/>
      <c r="D687" s="6"/>
      <c r="E687" s="6"/>
    </row>
    <row r="688" spans="3:5" ht="13" x14ac:dyDescent="0.6">
      <c r="C688" s="6"/>
      <c r="D688" s="6"/>
      <c r="E688" s="6"/>
    </row>
    <row r="689" spans="3:5" ht="13" x14ac:dyDescent="0.6">
      <c r="C689" s="6"/>
      <c r="D689" s="6"/>
      <c r="E689" s="6"/>
    </row>
    <row r="690" spans="3:5" ht="13" x14ac:dyDescent="0.6">
      <c r="C690" s="6"/>
      <c r="D690" s="6"/>
      <c r="E690" s="6"/>
    </row>
    <row r="691" spans="3:5" ht="13" x14ac:dyDescent="0.6">
      <c r="C691" s="6"/>
      <c r="D691" s="6"/>
      <c r="E691" s="6"/>
    </row>
    <row r="692" spans="3:5" ht="13" x14ac:dyDescent="0.6">
      <c r="C692" s="6"/>
      <c r="D692" s="6"/>
      <c r="E692" s="6"/>
    </row>
    <row r="693" spans="3:5" ht="13" x14ac:dyDescent="0.6">
      <c r="C693" s="6"/>
      <c r="D693" s="6"/>
      <c r="E693" s="6"/>
    </row>
    <row r="694" spans="3:5" ht="13" x14ac:dyDescent="0.6">
      <c r="C694" s="6"/>
      <c r="D694" s="6"/>
      <c r="E694" s="6"/>
    </row>
    <row r="695" spans="3:5" ht="13" x14ac:dyDescent="0.6">
      <c r="C695" s="6"/>
      <c r="D695" s="6"/>
      <c r="E695" s="6"/>
    </row>
    <row r="696" spans="3:5" ht="13" x14ac:dyDescent="0.6">
      <c r="C696" s="6"/>
      <c r="D696" s="6"/>
      <c r="E696" s="6"/>
    </row>
    <row r="697" spans="3:5" ht="13" x14ac:dyDescent="0.6">
      <c r="C697" s="6"/>
      <c r="D697" s="6"/>
      <c r="E697" s="6"/>
    </row>
    <row r="698" spans="3:5" ht="13" x14ac:dyDescent="0.6">
      <c r="C698" s="6"/>
      <c r="D698" s="6"/>
      <c r="E698" s="6"/>
    </row>
    <row r="699" spans="3:5" ht="13" x14ac:dyDescent="0.6">
      <c r="C699" s="6"/>
      <c r="D699" s="6"/>
      <c r="E699" s="6"/>
    </row>
    <row r="700" spans="3:5" ht="13" x14ac:dyDescent="0.6">
      <c r="C700" s="6"/>
      <c r="D700" s="6"/>
      <c r="E700" s="6"/>
    </row>
    <row r="701" spans="3:5" ht="13" x14ac:dyDescent="0.6">
      <c r="C701" s="6"/>
      <c r="D701" s="6"/>
      <c r="E701" s="6"/>
    </row>
    <row r="702" spans="3:5" ht="13" x14ac:dyDescent="0.6">
      <c r="C702" s="6"/>
      <c r="D702" s="6"/>
      <c r="E702" s="6"/>
    </row>
    <row r="703" spans="3:5" ht="13" x14ac:dyDescent="0.6">
      <c r="C703" s="6"/>
      <c r="D703" s="6"/>
      <c r="E703" s="6"/>
    </row>
    <row r="704" spans="3:5" ht="13" x14ac:dyDescent="0.6">
      <c r="C704" s="6"/>
      <c r="D704" s="6"/>
      <c r="E704" s="6"/>
    </row>
    <row r="705" spans="3:5" ht="13" x14ac:dyDescent="0.6">
      <c r="C705" s="6"/>
      <c r="D705" s="6"/>
      <c r="E705" s="6"/>
    </row>
    <row r="706" spans="3:5" ht="13" x14ac:dyDescent="0.6">
      <c r="C706" s="6"/>
      <c r="D706" s="6"/>
      <c r="E706" s="6"/>
    </row>
    <row r="707" spans="3:5" ht="13" x14ac:dyDescent="0.6">
      <c r="C707" s="6"/>
      <c r="D707" s="6"/>
      <c r="E707" s="6"/>
    </row>
    <row r="708" spans="3:5" ht="13" x14ac:dyDescent="0.6">
      <c r="C708" s="6"/>
      <c r="D708" s="6"/>
      <c r="E708" s="6"/>
    </row>
    <row r="709" spans="3:5" ht="13" x14ac:dyDescent="0.6">
      <c r="C709" s="6"/>
      <c r="D709" s="6"/>
      <c r="E709" s="6"/>
    </row>
    <row r="710" spans="3:5" ht="13" x14ac:dyDescent="0.6">
      <c r="C710" s="6"/>
      <c r="D710" s="6"/>
      <c r="E710" s="6"/>
    </row>
    <row r="711" spans="3:5" ht="13" x14ac:dyDescent="0.6">
      <c r="C711" s="6"/>
      <c r="D711" s="6"/>
      <c r="E711" s="6"/>
    </row>
    <row r="712" spans="3:5" ht="13" x14ac:dyDescent="0.6">
      <c r="C712" s="6"/>
      <c r="D712" s="6"/>
      <c r="E712" s="6"/>
    </row>
    <row r="713" spans="3:5" ht="13" x14ac:dyDescent="0.6">
      <c r="C713" s="6"/>
      <c r="D713" s="6"/>
      <c r="E713" s="6"/>
    </row>
    <row r="714" spans="3:5" ht="13" x14ac:dyDescent="0.6">
      <c r="C714" s="6"/>
      <c r="D714" s="6"/>
      <c r="E714" s="6"/>
    </row>
    <row r="715" spans="3:5" ht="13" x14ac:dyDescent="0.6">
      <c r="C715" s="6"/>
      <c r="D715" s="6"/>
      <c r="E715" s="6"/>
    </row>
    <row r="716" spans="3:5" ht="13" x14ac:dyDescent="0.6">
      <c r="C716" s="6"/>
      <c r="D716" s="6"/>
      <c r="E716" s="6"/>
    </row>
    <row r="717" spans="3:5" ht="13" x14ac:dyDescent="0.6">
      <c r="C717" s="6"/>
      <c r="D717" s="6"/>
      <c r="E717" s="6"/>
    </row>
    <row r="718" spans="3:5" ht="13" x14ac:dyDescent="0.6">
      <c r="C718" s="6"/>
      <c r="D718" s="6"/>
      <c r="E718" s="6"/>
    </row>
    <row r="719" spans="3:5" ht="13" x14ac:dyDescent="0.6">
      <c r="C719" s="6"/>
      <c r="D719" s="6"/>
      <c r="E719" s="6"/>
    </row>
    <row r="720" spans="3:5" ht="13" x14ac:dyDescent="0.6">
      <c r="C720" s="6"/>
      <c r="D720" s="6"/>
      <c r="E720" s="6"/>
    </row>
    <row r="721" spans="3:5" ht="13" x14ac:dyDescent="0.6">
      <c r="C721" s="6"/>
      <c r="D721" s="6"/>
      <c r="E721" s="6"/>
    </row>
    <row r="722" spans="3:5" ht="13" x14ac:dyDescent="0.6">
      <c r="C722" s="6"/>
      <c r="D722" s="6"/>
      <c r="E722" s="6"/>
    </row>
    <row r="723" spans="3:5" ht="13" x14ac:dyDescent="0.6">
      <c r="C723" s="6"/>
      <c r="D723" s="6"/>
      <c r="E723" s="6"/>
    </row>
    <row r="724" spans="3:5" ht="13" x14ac:dyDescent="0.6">
      <c r="C724" s="6"/>
      <c r="D724" s="6"/>
      <c r="E724" s="6"/>
    </row>
    <row r="725" spans="3:5" ht="13" x14ac:dyDescent="0.6">
      <c r="C725" s="6"/>
      <c r="D725" s="6"/>
      <c r="E725" s="6"/>
    </row>
    <row r="726" spans="3:5" ht="13" x14ac:dyDescent="0.6">
      <c r="C726" s="6"/>
      <c r="D726" s="6"/>
      <c r="E726" s="6"/>
    </row>
    <row r="727" spans="3:5" ht="13" x14ac:dyDescent="0.6">
      <c r="C727" s="6"/>
      <c r="D727" s="6"/>
      <c r="E727" s="6"/>
    </row>
    <row r="728" spans="3:5" ht="13" x14ac:dyDescent="0.6">
      <c r="C728" s="6"/>
      <c r="D728" s="6"/>
      <c r="E728" s="6"/>
    </row>
    <row r="729" spans="3:5" ht="13" x14ac:dyDescent="0.6">
      <c r="C729" s="6"/>
      <c r="D729" s="6"/>
      <c r="E729" s="6"/>
    </row>
    <row r="730" spans="3:5" ht="13" x14ac:dyDescent="0.6">
      <c r="C730" s="6"/>
      <c r="D730" s="6"/>
      <c r="E730" s="6"/>
    </row>
    <row r="731" spans="3:5" ht="13" x14ac:dyDescent="0.6">
      <c r="C731" s="6"/>
      <c r="D731" s="6"/>
      <c r="E731" s="6"/>
    </row>
    <row r="732" spans="3:5" ht="13" x14ac:dyDescent="0.6">
      <c r="C732" s="6"/>
      <c r="D732" s="6"/>
      <c r="E732" s="6"/>
    </row>
    <row r="733" spans="3:5" ht="13" x14ac:dyDescent="0.6">
      <c r="C733" s="6"/>
      <c r="D733" s="6"/>
      <c r="E733" s="6"/>
    </row>
    <row r="734" spans="3:5" ht="13" x14ac:dyDescent="0.6">
      <c r="C734" s="6"/>
      <c r="D734" s="6"/>
      <c r="E734" s="6"/>
    </row>
    <row r="735" spans="3:5" ht="13" x14ac:dyDescent="0.6">
      <c r="C735" s="6"/>
      <c r="D735" s="6"/>
      <c r="E735" s="6"/>
    </row>
    <row r="736" spans="3:5" ht="13" x14ac:dyDescent="0.6">
      <c r="C736" s="6"/>
      <c r="D736" s="6"/>
      <c r="E736" s="6"/>
    </row>
    <row r="737" spans="3:5" ht="13" x14ac:dyDescent="0.6">
      <c r="C737" s="6"/>
      <c r="D737" s="6"/>
      <c r="E737" s="6"/>
    </row>
    <row r="738" spans="3:5" ht="13" x14ac:dyDescent="0.6">
      <c r="C738" s="6"/>
      <c r="D738" s="6"/>
      <c r="E738" s="6"/>
    </row>
    <row r="739" spans="3:5" ht="13" x14ac:dyDescent="0.6">
      <c r="C739" s="6"/>
      <c r="D739" s="6"/>
      <c r="E739" s="6"/>
    </row>
    <row r="740" spans="3:5" ht="13" x14ac:dyDescent="0.6">
      <c r="C740" s="6"/>
      <c r="D740" s="6"/>
      <c r="E740" s="6"/>
    </row>
    <row r="741" spans="3:5" ht="13" x14ac:dyDescent="0.6">
      <c r="C741" s="6"/>
      <c r="D741" s="6"/>
      <c r="E741" s="6"/>
    </row>
    <row r="742" spans="3:5" ht="13" x14ac:dyDescent="0.6">
      <c r="C742" s="6"/>
      <c r="D742" s="6"/>
      <c r="E742" s="6"/>
    </row>
    <row r="743" spans="3:5" ht="13" x14ac:dyDescent="0.6">
      <c r="C743" s="6"/>
      <c r="D743" s="6"/>
      <c r="E743" s="6"/>
    </row>
    <row r="744" spans="3:5" ht="13" x14ac:dyDescent="0.6">
      <c r="C744" s="6"/>
      <c r="D744" s="6"/>
      <c r="E744" s="6"/>
    </row>
    <row r="745" spans="3:5" ht="13" x14ac:dyDescent="0.6">
      <c r="C745" s="6"/>
      <c r="D745" s="6"/>
      <c r="E745" s="6"/>
    </row>
    <row r="746" spans="3:5" ht="13" x14ac:dyDescent="0.6">
      <c r="C746" s="6"/>
      <c r="D746" s="6"/>
      <c r="E746" s="6"/>
    </row>
    <row r="747" spans="3:5" ht="13" x14ac:dyDescent="0.6">
      <c r="C747" s="6"/>
      <c r="D747" s="6"/>
      <c r="E747" s="6"/>
    </row>
    <row r="748" spans="3:5" ht="13" x14ac:dyDescent="0.6">
      <c r="C748" s="6"/>
      <c r="D748" s="6"/>
      <c r="E748" s="6"/>
    </row>
    <row r="749" spans="3:5" ht="13" x14ac:dyDescent="0.6">
      <c r="C749" s="6"/>
      <c r="D749" s="6"/>
      <c r="E749" s="6"/>
    </row>
    <row r="750" spans="3:5" ht="13" x14ac:dyDescent="0.6">
      <c r="C750" s="6"/>
      <c r="D750" s="6"/>
      <c r="E750" s="6"/>
    </row>
    <row r="751" spans="3:5" ht="13" x14ac:dyDescent="0.6">
      <c r="C751" s="6"/>
      <c r="D751" s="6"/>
      <c r="E751" s="6"/>
    </row>
    <row r="752" spans="3:5" ht="13" x14ac:dyDescent="0.6">
      <c r="C752" s="6"/>
      <c r="D752" s="6"/>
      <c r="E752" s="6"/>
    </row>
    <row r="753" spans="3:5" ht="13" x14ac:dyDescent="0.6">
      <c r="C753" s="6"/>
      <c r="D753" s="6"/>
      <c r="E753" s="6"/>
    </row>
    <row r="754" spans="3:5" ht="13" x14ac:dyDescent="0.6">
      <c r="C754" s="6"/>
      <c r="D754" s="6"/>
      <c r="E754" s="6"/>
    </row>
    <row r="755" spans="3:5" ht="13" x14ac:dyDescent="0.6">
      <c r="C755" s="6"/>
      <c r="D755" s="6"/>
      <c r="E755" s="6"/>
    </row>
    <row r="756" spans="3:5" ht="13" x14ac:dyDescent="0.6">
      <c r="C756" s="6"/>
      <c r="D756" s="6"/>
      <c r="E756" s="6"/>
    </row>
    <row r="757" spans="3:5" ht="13" x14ac:dyDescent="0.6">
      <c r="C757" s="6"/>
      <c r="D757" s="6"/>
      <c r="E757" s="6"/>
    </row>
    <row r="758" spans="3:5" ht="13" x14ac:dyDescent="0.6">
      <c r="C758" s="6"/>
      <c r="D758" s="6"/>
      <c r="E758" s="6"/>
    </row>
    <row r="759" spans="3:5" ht="13" x14ac:dyDescent="0.6">
      <c r="C759" s="6"/>
      <c r="D759" s="6"/>
      <c r="E759" s="6"/>
    </row>
    <row r="760" spans="3:5" ht="13" x14ac:dyDescent="0.6">
      <c r="C760" s="6"/>
      <c r="D760" s="6"/>
      <c r="E760" s="6"/>
    </row>
    <row r="761" spans="3:5" ht="13" x14ac:dyDescent="0.6">
      <c r="C761" s="6"/>
      <c r="D761" s="6"/>
      <c r="E761" s="6"/>
    </row>
    <row r="762" spans="3:5" ht="13" x14ac:dyDescent="0.6">
      <c r="C762" s="6"/>
      <c r="D762" s="6"/>
      <c r="E762" s="6"/>
    </row>
    <row r="763" spans="3:5" ht="13" x14ac:dyDescent="0.6">
      <c r="C763" s="6"/>
      <c r="D763" s="6"/>
      <c r="E763" s="6"/>
    </row>
    <row r="764" spans="3:5" ht="13" x14ac:dyDescent="0.6">
      <c r="C764" s="6"/>
      <c r="D764" s="6"/>
      <c r="E764" s="6"/>
    </row>
    <row r="765" spans="3:5" ht="13" x14ac:dyDescent="0.6">
      <c r="C765" s="6"/>
      <c r="D765" s="6"/>
      <c r="E765" s="6"/>
    </row>
    <row r="766" spans="3:5" ht="13" x14ac:dyDescent="0.6">
      <c r="C766" s="6"/>
      <c r="D766" s="6"/>
      <c r="E766" s="6"/>
    </row>
    <row r="767" spans="3:5" ht="13" x14ac:dyDescent="0.6">
      <c r="C767" s="6"/>
      <c r="D767" s="6"/>
      <c r="E767" s="6"/>
    </row>
    <row r="768" spans="3:5" ht="13" x14ac:dyDescent="0.6">
      <c r="C768" s="6"/>
      <c r="D768" s="6"/>
      <c r="E768" s="6"/>
    </row>
    <row r="769" spans="3:5" ht="13" x14ac:dyDescent="0.6">
      <c r="C769" s="6"/>
      <c r="D769" s="6"/>
      <c r="E769" s="6"/>
    </row>
    <row r="770" spans="3:5" ht="13" x14ac:dyDescent="0.6">
      <c r="C770" s="6"/>
      <c r="D770" s="6"/>
      <c r="E770" s="6"/>
    </row>
    <row r="771" spans="3:5" ht="13" x14ac:dyDescent="0.6">
      <c r="C771" s="6"/>
      <c r="D771" s="6"/>
      <c r="E771" s="6"/>
    </row>
    <row r="772" spans="3:5" ht="13" x14ac:dyDescent="0.6">
      <c r="C772" s="6"/>
      <c r="D772" s="6"/>
      <c r="E772" s="6"/>
    </row>
    <row r="773" spans="3:5" ht="13" x14ac:dyDescent="0.6">
      <c r="C773" s="6"/>
      <c r="D773" s="6"/>
      <c r="E773" s="6"/>
    </row>
    <row r="774" spans="3:5" ht="13" x14ac:dyDescent="0.6">
      <c r="C774" s="6"/>
      <c r="D774" s="6"/>
      <c r="E774" s="6"/>
    </row>
    <row r="775" spans="3:5" ht="13" x14ac:dyDescent="0.6">
      <c r="C775" s="6"/>
      <c r="D775" s="6"/>
      <c r="E775" s="6"/>
    </row>
    <row r="776" spans="3:5" ht="13" x14ac:dyDescent="0.6">
      <c r="C776" s="6"/>
      <c r="D776" s="6"/>
      <c r="E776" s="6"/>
    </row>
    <row r="777" spans="3:5" ht="13" x14ac:dyDescent="0.6">
      <c r="C777" s="6"/>
      <c r="D777" s="6"/>
      <c r="E777" s="6"/>
    </row>
    <row r="778" spans="3:5" ht="13" x14ac:dyDescent="0.6">
      <c r="C778" s="6"/>
      <c r="D778" s="6"/>
      <c r="E778" s="6"/>
    </row>
    <row r="779" spans="3:5" ht="13" x14ac:dyDescent="0.6">
      <c r="C779" s="6"/>
      <c r="D779" s="6"/>
      <c r="E779" s="6"/>
    </row>
    <row r="780" spans="3:5" ht="13" x14ac:dyDescent="0.6">
      <c r="C780" s="6"/>
      <c r="D780" s="6"/>
      <c r="E780" s="6"/>
    </row>
    <row r="781" spans="3:5" ht="13" x14ac:dyDescent="0.6">
      <c r="C781" s="6"/>
      <c r="D781" s="6"/>
      <c r="E781" s="6"/>
    </row>
    <row r="782" spans="3:5" ht="13" x14ac:dyDescent="0.6">
      <c r="C782" s="6"/>
      <c r="D782" s="6"/>
      <c r="E782" s="6"/>
    </row>
    <row r="783" spans="3:5" ht="13" x14ac:dyDescent="0.6">
      <c r="C783" s="6"/>
      <c r="D783" s="6"/>
      <c r="E783" s="6"/>
    </row>
    <row r="784" spans="3:5" ht="13" x14ac:dyDescent="0.6">
      <c r="C784" s="6"/>
      <c r="D784" s="6"/>
      <c r="E784" s="6"/>
    </row>
    <row r="785" spans="3:5" ht="13" x14ac:dyDescent="0.6">
      <c r="C785" s="6"/>
      <c r="D785" s="6"/>
      <c r="E785" s="6"/>
    </row>
    <row r="786" spans="3:5" ht="13" x14ac:dyDescent="0.6">
      <c r="C786" s="6"/>
      <c r="D786" s="6"/>
      <c r="E786" s="6"/>
    </row>
    <row r="787" spans="3:5" ht="13" x14ac:dyDescent="0.6">
      <c r="C787" s="6"/>
      <c r="D787" s="6"/>
      <c r="E787" s="6"/>
    </row>
    <row r="788" spans="3:5" ht="13" x14ac:dyDescent="0.6">
      <c r="C788" s="6"/>
      <c r="D788" s="6"/>
      <c r="E788" s="6"/>
    </row>
    <row r="789" spans="3:5" ht="13" x14ac:dyDescent="0.6">
      <c r="C789" s="6"/>
      <c r="D789" s="6"/>
      <c r="E789" s="6"/>
    </row>
    <row r="790" spans="3:5" ht="13" x14ac:dyDescent="0.6">
      <c r="C790" s="6"/>
      <c r="D790" s="6"/>
      <c r="E790" s="6"/>
    </row>
    <row r="791" spans="3:5" ht="13" x14ac:dyDescent="0.6">
      <c r="C791" s="6"/>
      <c r="D791" s="6"/>
      <c r="E791" s="6"/>
    </row>
    <row r="792" spans="3:5" ht="13" x14ac:dyDescent="0.6">
      <c r="C792" s="6"/>
      <c r="D792" s="6"/>
      <c r="E792" s="6"/>
    </row>
    <row r="793" spans="3:5" ht="13" x14ac:dyDescent="0.6">
      <c r="C793" s="6"/>
      <c r="D793" s="6"/>
      <c r="E793" s="6"/>
    </row>
    <row r="794" spans="3:5" ht="13" x14ac:dyDescent="0.6">
      <c r="C794" s="6"/>
      <c r="D794" s="6"/>
      <c r="E794" s="6"/>
    </row>
    <row r="795" spans="3:5" ht="13" x14ac:dyDescent="0.6">
      <c r="C795" s="6"/>
      <c r="D795" s="6"/>
      <c r="E795" s="6"/>
    </row>
    <row r="796" spans="3:5" ht="13" x14ac:dyDescent="0.6">
      <c r="C796" s="6"/>
      <c r="D796" s="6"/>
      <c r="E796" s="6"/>
    </row>
    <row r="797" spans="3:5" ht="13" x14ac:dyDescent="0.6">
      <c r="C797" s="6"/>
      <c r="D797" s="6"/>
      <c r="E797" s="6"/>
    </row>
    <row r="798" spans="3:5" ht="13" x14ac:dyDescent="0.6">
      <c r="C798" s="6"/>
      <c r="D798" s="6"/>
      <c r="E798" s="6"/>
    </row>
    <row r="799" spans="3:5" ht="13" x14ac:dyDescent="0.6">
      <c r="C799" s="6"/>
      <c r="D799" s="6"/>
      <c r="E799" s="6"/>
    </row>
    <row r="800" spans="3:5" ht="13" x14ac:dyDescent="0.6">
      <c r="C800" s="6"/>
      <c r="D800" s="6"/>
      <c r="E800" s="6"/>
    </row>
    <row r="801" spans="3:5" ht="13" x14ac:dyDescent="0.6">
      <c r="C801" s="6"/>
      <c r="D801" s="6"/>
      <c r="E801" s="6"/>
    </row>
    <row r="802" spans="3:5" ht="13" x14ac:dyDescent="0.6">
      <c r="C802" s="6"/>
      <c r="D802" s="6"/>
      <c r="E802" s="6"/>
    </row>
    <row r="803" spans="3:5" ht="13" x14ac:dyDescent="0.6">
      <c r="C803" s="6"/>
      <c r="D803" s="6"/>
      <c r="E803" s="6"/>
    </row>
    <row r="804" spans="3:5" ht="13" x14ac:dyDescent="0.6">
      <c r="C804" s="6"/>
      <c r="D804" s="6"/>
      <c r="E804" s="6"/>
    </row>
    <row r="805" spans="3:5" ht="13" x14ac:dyDescent="0.6">
      <c r="C805" s="6"/>
      <c r="D805" s="6"/>
      <c r="E805" s="6"/>
    </row>
    <row r="806" spans="3:5" ht="13" x14ac:dyDescent="0.6">
      <c r="C806" s="6"/>
      <c r="D806" s="6"/>
      <c r="E806" s="6"/>
    </row>
    <row r="807" spans="3:5" ht="13" x14ac:dyDescent="0.6">
      <c r="C807" s="6"/>
      <c r="D807" s="6"/>
      <c r="E807" s="6"/>
    </row>
    <row r="808" spans="3:5" ht="13" x14ac:dyDescent="0.6">
      <c r="C808" s="6"/>
      <c r="D808" s="6"/>
      <c r="E808" s="6"/>
    </row>
    <row r="809" spans="3:5" ht="13" x14ac:dyDescent="0.6">
      <c r="C809" s="6"/>
      <c r="D809" s="6"/>
      <c r="E809" s="6"/>
    </row>
    <row r="810" spans="3:5" ht="13" x14ac:dyDescent="0.6">
      <c r="C810" s="6"/>
      <c r="D810" s="6"/>
      <c r="E810" s="6"/>
    </row>
    <row r="811" spans="3:5" ht="13" x14ac:dyDescent="0.6">
      <c r="C811" s="6"/>
      <c r="D811" s="6"/>
      <c r="E811" s="6"/>
    </row>
    <row r="812" spans="3:5" ht="13" x14ac:dyDescent="0.6">
      <c r="C812" s="6"/>
      <c r="D812" s="6"/>
      <c r="E812" s="6"/>
    </row>
    <row r="813" spans="3:5" ht="13" x14ac:dyDescent="0.6">
      <c r="C813" s="6"/>
      <c r="D813" s="6"/>
      <c r="E813" s="6"/>
    </row>
    <row r="814" spans="3:5" ht="13" x14ac:dyDescent="0.6">
      <c r="C814" s="6"/>
      <c r="D814" s="6"/>
      <c r="E814" s="6"/>
    </row>
    <row r="815" spans="3:5" ht="13" x14ac:dyDescent="0.6">
      <c r="C815" s="6"/>
      <c r="D815" s="6"/>
      <c r="E815" s="6"/>
    </row>
    <row r="816" spans="3:5" ht="13" x14ac:dyDescent="0.6">
      <c r="C816" s="6"/>
      <c r="D816" s="6"/>
      <c r="E816" s="6"/>
    </row>
    <row r="817" spans="3:5" ht="13" x14ac:dyDescent="0.6">
      <c r="C817" s="6"/>
      <c r="D817" s="6"/>
      <c r="E817" s="6"/>
    </row>
    <row r="818" spans="3:5" ht="13" x14ac:dyDescent="0.6">
      <c r="C818" s="6"/>
      <c r="D818" s="6"/>
      <c r="E818" s="6"/>
    </row>
    <row r="819" spans="3:5" ht="13" x14ac:dyDescent="0.6">
      <c r="C819" s="6"/>
      <c r="D819" s="6"/>
      <c r="E819" s="6"/>
    </row>
    <row r="820" spans="3:5" ht="13" x14ac:dyDescent="0.6">
      <c r="C820" s="6"/>
      <c r="D820" s="6"/>
      <c r="E820" s="6"/>
    </row>
    <row r="821" spans="3:5" ht="13" x14ac:dyDescent="0.6">
      <c r="C821" s="6"/>
      <c r="D821" s="6"/>
      <c r="E821" s="6"/>
    </row>
    <row r="822" spans="3:5" ht="13" x14ac:dyDescent="0.6">
      <c r="C822" s="6"/>
      <c r="D822" s="6"/>
      <c r="E822" s="6"/>
    </row>
    <row r="823" spans="3:5" ht="13" x14ac:dyDescent="0.6">
      <c r="C823" s="6"/>
      <c r="D823" s="6"/>
      <c r="E823" s="6"/>
    </row>
    <row r="824" spans="3:5" ht="13" x14ac:dyDescent="0.6">
      <c r="C824" s="6"/>
      <c r="D824" s="6"/>
      <c r="E824" s="6"/>
    </row>
    <row r="825" spans="3:5" ht="13" x14ac:dyDescent="0.6">
      <c r="C825" s="6"/>
      <c r="D825" s="6"/>
      <c r="E825" s="6"/>
    </row>
    <row r="826" spans="3:5" ht="13" x14ac:dyDescent="0.6">
      <c r="C826" s="6"/>
      <c r="D826" s="6"/>
      <c r="E826" s="6"/>
    </row>
    <row r="827" spans="3:5" ht="13" x14ac:dyDescent="0.6">
      <c r="C827" s="6"/>
      <c r="D827" s="6"/>
      <c r="E827" s="6"/>
    </row>
    <row r="828" spans="3:5" ht="13" x14ac:dyDescent="0.6">
      <c r="C828" s="6"/>
      <c r="D828" s="6"/>
      <c r="E828" s="6"/>
    </row>
    <row r="829" spans="3:5" ht="13" x14ac:dyDescent="0.6">
      <c r="C829" s="6"/>
      <c r="D829" s="6"/>
      <c r="E829" s="6"/>
    </row>
    <row r="830" spans="3:5" ht="13" x14ac:dyDescent="0.6">
      <c r="C830" s="6"/>
      <c r="D830" s="6"/>
      <c r="E830" s="6"/>
    </row>
    <row r="831" spans="3:5" ht="13" x14ac:dyDescent="0.6">
      <c r="C831" s="6"/>
      <c r="D831" s="6"/>
      <c r="E831" s="6"/>
    </row>
    <row r="832" spans="3:5" ht="13" x14ac:dyDescent="0.6">
      <c r="C832" s="6"/>
      <c r="D832" s="6"/>
      <c r="E832" s="6"/>
    </row>
    <row r="833" spans="3:5" ht="13" x14ac:dyDescent="0.6">
      <c r="C833" s="6"/>
      <c r="D833" s="6"/>
      <c r="E833" s="6"/>
    </row>
    <row r="834" spans="3:5" ht="13" x14ac:dyDescent="0.6">
      <c r="C834" s="6"/>
      <c r="D834" s="6"/>
      <c r="E834" s="6"/>
    </row>
    <row r="835" spans="3:5" ht="13" x14ac:dyDescent="0.6">
      <c r="C835" s="6"/>
      <c r="D835" s="6"/>
      <c r="E835" s="6"/>
    </row>
    <row r="836" spans="3:5" ht="13" x14ac:dyDescent="0.6">
      <c r="C836" s="6"/>
      <c r="D836" s="6"/>
      <c r="E836" s="6"/>
    </row>
    <row r="837" spans="3:5" ht="13" x14ac:dyDescent="0.6">
      <c r="C837" s="6"/>
      <c r="D837" s="6"/>
      <c r="E837" s="6"/>
    </row>
    <row r="838" spans="3:5" ht="13" x14ac:dyDescent="0.6">
      <c r="C838" s="6"/>
      <c r="D838" s="6"/>
      <c r="E838" s="6"/>
    </row>
    <row r="839" spans="3:5" ht="13" x14ac:dyDescent="0.6">
      <c r="C839" s="6"/>
      <c r="D839" s="6"/>
      <c r="E839" s="6"/>
    </row>
    <row r="840" spans="3:5" ht="13" x14ac:dyDescent="0.6">
      <c r="C840" s="6"/>
      <c r="D840" s="6"/>
      <c r="E840" s="6"/>
    </row>
    <row r="841" spans="3:5" ht="13" x14ac:dyDescent="0.6">
      <c r="C841" s="6"/>
      <c r="D841" s="6"/>
      <c r="E841" s="6"/>
    </row>
    <row r="842" spans="3:5" ht="13" x14ac:dyDescent="0.6">
      <c r="C842" s="6"/>
      <c r="D842" s="6"/>
      <c r="E842" s="6"/>
    </row>
    <row r="843" spans="3:5" ht="13" x14ac:dyDescent="0.6">
      <c r="C843" s="6"/>
      <c r="D843" s="6"/>
      <c r="E843" s="6"/>
    </row>
    <row r="844" spans="3:5" ht="13" x14ac:dyDescent="0.6">
      <c r="C844" s="6"/>
      <c r="D844" s="6"/>
      <c r="E844" s="6"/>
    </row>
    <row r="845" spans="3:5" ht="13" x14ac:dyDescent="0.6">
      <c r="C845" s="6"/>
      <c r="D845" s="6"/>
      <c r="E845" s="6"/>
    </row>
    <row r="846" spans="3:5" ht="13" x14ac:dyDescent="0.6">
      <c r="C846" s="6"/>
      <c r="D846" s="6"/>
      <c r="E846" s="6"/>
    </row>
    <row r="847" spans="3:5" ht="13" x14ac:dyDescent="0.6">
      <c r="C847" s="6"/>
      <c r="D847" s="6"/>
      <c r="E847" s="6"/>
    </row>
    <row r="848" spans="3:5" ht="13" x14ac:dyDescent="0.6">
      <c r="C848" s="6"/>
      <c r="D848" s="6"/>
      <c r="E848" s="6"/>
    </row>
    <row r="849" spans="3:5" ht="13" x14ac:dyDescent="0.6">
      <c r="C849" s="6"/>
      <c r="D849" s="6"/>
      <c r="E849" s="6"/>
    </row>
    <row r="850" spans="3:5" ht="13" x14ac:dyDescent="0.6">
      <c r="C850" s="6"/>
      <c r="D850" s="6"/>
      <c r="E850" s="6"/>
    </row>
    <row r="851" spans="3:5" ht="13" x14ac:dyDescent="0.6">
      <c r="C851" s="6"/>
      <c r="D851" s="6"/>
      <c r="E851" s="6"/>
    </row>
    <row r="852" spans="3:5" ht="13" x14ac:dyDescent="0.6">
      <c r="C852" s="6"/>
      <c r="D852" s="6"/>
      <c r="E852" s="6"/>
    </row>
    <row r="853" spans="3:5" ht="13" x14ac:dyDescent="0.6">
      <c r="C853" s="6"/>
      <c r="D853" s="6"/>
      <c r="E853" s="6"/>
    </row>
    <row r="854" spans="3:5" ht="13" x14ac:dyDescent="0.6">
      <c r="C854" s="6"/>
      <c r="D854" s="6"/>
      <c r="E854" s="6"/>
    </row>
    <row r="855" spans="3:5" ht="13" x14ac:dyDescent="0.6">
      <c r="C855" s="6"/>
      <c r="D855" s="6"/>
      <c r="E855" s="6"/>
    </row>
    <row r="856" spans="3:5" ht="13" x14ac:dyDescent="0.6">
      <c r="C856" s="6"/>
      <c r="D856" s="6"/>
      <c r="E856" s="6"/>
    </row>
    <row r="857" spans="3:5" ht="13" x14ac:dyDescent="0.6">
      <c r="C857" s="6"/>
      <c r="D857" s="6"/>
      <c r="E857" s="6"/>
    </row>
    <row r="858" spans="3:5" ht="13" x14ac:dyDescent="0.6">
      <c r="C858" s="6"/>
      <c r="D858" s="6"/>
      <c r="E858" s="6"/>
    </row>
    <row r="859" spans="3:5" ht="13" x14ac:dyDescent="0.6">
      <c r="C859" s="6"/>
      <c r="D859" s="6"/>
      <c r="E859" s="6"/>
    </row>
    <row r="860" spans="3:5" ht="13" x14ac:dyDescent="0.6">
      <c r="C860" s="6"/>
      <c r="D860" s="6"/>
      <c r="E860" s="6"/>
    </row>
    <row r="861" spans="3:5" ht="13" x14ac:dyDescent="0.6">
      <c r="C861" s="6"/>
      <c r="D861" s="6"/>
      <c r="E861" s="6"/>
    </row>
    <row r="862" spans="3:5" ht="13" x14ac:dyDescent="0.6">
      <c r="C862" s="6"/>
      <c r="D862" s="6"/>
      <c r="E862" s="6"/>
    </row>
    <row r="863" spans="3:5" ht="13" x14ac:dyDescent="0.6">
      <c r="C863" s="6"/>
      <c r="D863" s="6"/>
      <c r="E863" s="6"/>
    </row>
    <row r="864" spans="3:5" ht="13" x14ac:dyDescent="0.6">
      <c r="C864" s="6"/>
      <c r="D864" s="6"/>
      <c r="E864" s="6"/>
    </row>
    <row r="865" spans="3:5" ht="13" x14ac:dyDescent="0.6">
      <c r="C865" s="6"/>
      <c r="D865" s="6"/>
      <c r="E865" s="6"/>
    </row>
    <row r="866" spans="3:5" ht="13" x14ac:dyDescent="0.6">
      <c r="C866" s="6"/>
      <c r="D866" s="6"/>
      <c r="E866" s="6"/>
    </row>
    <row r="867" spans="3:5" ht="13" x14ac:dyDescent="0.6">
      <c r="C867" s="6"/>
      <c r="D867" s="6"/>
      <c r="E867" s="6"/>
    </row>
    <row r="868" spans="3:5" ht="13" x14ac:dyDescent="0.6">
      <c r="C868" s="6"/>
      <c r="D868" s="6"/>
      <c r="E868" s="6"/>
    </row>
    <row r="869" spans="3:5" ht="13" x14ac:dyDescent="0.6">
      <c r="C869" s="6"/>
      <c r="D869" s="6"/>
      <c r="E869" s="6"/>
    </row>
    <row r="870" spans="3:5" ht="13" x14ac:dyDescent="0.6">
      <c r="C870" s="6"/>
      <c r="D870" s="6"/>
      <c r="E870" s="6"/>
    </row>
    <row r="871" spans="3:5" ht="13" x14ac:dyDescent="0.6">
      <c r="C871" s="6"/>
      <c r="D871" s="6"/>
      <c r="E871" s="6"/>
    </row>
    <row r="872" spans="3:5" ht="13" x14ac:dyDescent="0.6">
      <c r="C872" s="6"/>
      <c r="D872" s="6"/>
      <c r="E872" s="6"/>
    </row>
    <row r="873" spans="3:5" ht="13" x14ac:dyDescent="0.6">
      <c r="C873" s="6"/>
      <c r="D873" s="6"/>
      <c r="E873" s="6"/>
    </row>
    <row r="874" spans="3:5" ht="13" x14ac:dyDescent="0.6">
      <c r="C874" s="6"/>
      <c r="D874" s="6"/>
      <c r="E874" s="6"/>
    </row>
    <row r="875" spans="3:5" ht="13" x14ac:dyDescent="0.6">
      <c r="C875" s="6"/>
      <c r="D875" s="6"/>
      <c r="E875" s="6"/>
    </row>
    <row r="876" spans="3:5" ht="13" x14ac:dyDescent="0.6">
      <c r="C876" s="6"/>
      <c r="D876" s="6"/>
      <c r="E876" s="6"/>
    </row>
    <row r="877" spans="3:5" ht="13" x14ac:dyDescent="0.6">
      <c r="C877" s="6"/>
      <c r="D877" s="6"/>
      <c r="E877" s="6"/>
    </row>
    <row r="878" spans="3:5" ht="13" x14ac:dyDescent="0.6">
      <c r="C878" s="6"/>
      <c r="D878" s="6"/>
      <c r="E878" s="6"/>
    </row>
    <row r="879" spans="3:5" ht="13" x14ac:dyDescent="0.6">
      <c r="C879" s="6"/>
      <c r="D879" s="6"/>
      <c r="E879" s="6"/>
    </row>
    <row r="880" spans="3:5" ht="13" x14ac:dyDescent="0.6">
      <c r="C880" s="6"/>
      <c r="D880" s="6"/>
      <c r="E880" s="6"/>
    </row>
    <row r="881" spans="3:5" ht="13" x14ac:dyDescent="0.6">
      <c r="C881" s="6"/>
      <c r="D881" s="6"/>
      <c r="E881" s="6"/>
    </row>
    <row r="882" spans="3:5" ht="13" x14ac:dyDescent="0.6">
      <c r="C882" s="6"/>
      <c r="D882" s="6"/>
      <c r="E882" s="6"/>
    </row>
    <row r="883" spans="3:5" ht="13" x14ac:dyDescent="0.6">
      <c r="C883" s="6"/>
      <c r="D883" s="6"/>
      <c r="E883" s="6"/>
    </row>
    <row r="884" spans="3:5" ht="13" x14ac:dyDescent="0.6">
      <c r="C884" s="6"/>
      <c r="D884" s="6"/>
      <c r="E884" s="6"/>
    </row>
    <row r="885" spans="3:5" ht="13" x14ac:dyDescent="0.6">
      <c r="C885" s="6"/>
      <c r="D885" s="6"/>
      <c r="E885" s="6"/>
    </row>
    <row r="886" spans="3:5" ht="13" x14ac:dyDescent="0.6">
      <c r="C886" s="6"/>
      <c r="D886" s="6"/>
      <c r="E886" s="6"/>
    </row>
    <row r="887" spans="3:5" ht="13" x14ac:dyDescent="0.6">
      <c r="C887" s="6"/>
      <c r="D887" s="6"/>
      <c r="E887" s="6"/>
    </row>
    <row r="888" spans="3:5" ht="13" x14ac:dyDescent="0.6">
      <c r="C888" s="6"/>
      <c r="D888" s="6"/>
      <c r="E888" s="6"/>
    </row>
    <row r="889" spans="3:5" ht="13" x14ac:dyDescent="0.6">
      <c r="C889" s="6"/>
      <c r="D889" s="6"/>
      <c r="E889" s="6"/>
    </row>
    <row r="890" spans="3:5" ht="13" x14ac:dyDescent="0.6">
      <c r="C890" s="6"/>
      <c r="D890" s="6"/>
      <c r="E890" s="6"/>
    </row>
    <row r="891" spans="3:5" ht="13" x14ac:dyDescent="0.6">
      <c r="C891" s="6"/>
      <c r="D891" s="6"/>
      <c r="E891" s="6"/>
    </row>
    <row r="892" spans="3:5" ht="13" x14ac:dyDescent="0.6">
      <c r="C892" s="6"/>
      <c r="D892" s="6"/>
      <c r="E892" s="6"/>
    </row>
    <row r="893" spans="3:5" ht="13" x14ac:dyDescent="0.6">
      <c r="C893" s="6"/>
      <c r="D893" s="6"/>
      <c r="E893" s="6"/>
    </row>
    <row r="894" spans="3:5" ht="13" x14ac:dyDescent="0.6">
      <c r="C894" s="6"/>
      <c r="D894" s="6"/>
      <c r="E894" s="6"/>
    </row>
    <row r="895" spans="3:5" ht="13" x14ac:dyDescent="0.6">
      <c r="C895" s="6"/>
      <c r="D895" s="6"/>
      <c r="E895" s="6"/>
    </row>
    <row r="896" spans="3:5" ht="13" x14ac:dyDescent="0.6">
      <c r="C896" s="6"/>
      <c r="D896" s="6"/>
      <c r="E896" s="6"/>
    </row>
    <row r="897" spans="3:5" ht="13" x14ac:dyDescent="0.6">
      <c r="C897" s="6"/>
      <c r="D897" s="6"/>
      <c r="E897" s="6"/>
    </row>
    <row r="898" spans="3:5" ht="13" x14ac:dyDescent="0.6">
      <c r="C898" s="6"/>
      <c r="D898" s="6"/>
      <c r="E898" s="6"/>
    </row>
    <row r="899" spans="3:5" ht="13" x14ac:dyDescent="0.6">
      <c r="C899" s="6"/>
      <c r="D899" s="6"/>
      <c r="E899" s="6"/>
    </row>
    <row r="900" spans="3:5" ht="13" x14ac:dyDescent="0.6">
      <c r="C900" s="6"/>
      <c r="D900" s="6"/>
      <c r="E900" s="6"/>
    </row>
    <row r="901" spans="3:5" ht="13" x14ac:dyDescent="0.6">
      <c r="C901" s="6"/>
      <c r="D901" s="6"/>
      <c r="E901" s="6"/>
    </row>
    <row r="902" spans="3:5" ht="13" x14ac:dyDescent="0.6">
      <c r="C902" s="6"/>
      <c r="D902" s="6"/>
      <c r="E902" s="6"/>
    </row>
    <row r="903" spans="3:5" ht="13" x14ac:dyDescent="0.6">
      <c r="C903" s="6"/>
      <c r="D903" s="6"/>
      <c r="E903" s="6"/>
    </row>
    <row r="904" spans="3:5" ht="13" x14ac:dyDescent="0.6">
      <c r="C904" s="6"/>
      <c r="D904" s="6"/>
      <c r="E904" s="6"/>
    </row>
    <row r="905" spans="3:5" ht="13" x14ac:dyDescent="0.6">
      <c r="C905" s="6"/>
      <c r="D905" s="6"/>
      <c r="E905" s="6"/>
    </row>
    <row r="906" spans="3:5" ht="13" x14ac:dyDescent="0.6">
      <c r="C906" s="6"/>
      <c r="D906" s="6"/>
      <c r="E906" s="6"/>
    </row>
    <row r="907" spans="3:5" ht="13" x14ac:dyDescent="0.6">
      <c r="C907" s="6"/>
      <c r="D907" s="6"/>
      <c r="E907" s="6"/>
    </row>
    <row r="908" spans="3:5" ht="13" x14ac:dyDescent="0.6">
      <c r="C908" s="6"/>
      <c r="D908" s="6"/>
      <c r="E908" s="6"/>
    </row>
    <row r="909" spans="3:5" ht="13" x14ac:dyDescent="0.6">
      <c r="C909" s="6"/>
      <c r="D909" s="6"/>
      <c r="E909" s="6"/>
    </row>
    <row r="910" spans="3:5" ht="13" x14ac:dyDescent="0.6">
      <c r="C910" s="6"/>
      <c r="D910" s="6"/>
      <c r="E910" s="6"/>
    </row>
    <row r="911" spans="3:5" ht="13" x14ac:dyDescent="0.6">
      <c r="C911" s="6"/>
      <c r="D911" s="6"/>
      <c r="E911" s="6"/>
    </row>
    <row r="912" spans="3:5" ht="13" x14ac:dyDescent="0.6">
      <c r="C912" s="6"/>
      <c r="D912" s="6"/>
      <c r="E912" s="6"/>
    </row>
    <row r="913" spans="3:5" ht="13" x14ac:dyDescent="0.6">
      <c r="C913" s="6"/>
      <c r="D913" s="6"/>
      <c r="E913" s="6"/>
    </row>
    <row r="914" spans="3:5" ht="13" x14ac:dyDescent="0.6">
      <c r="C914" s="6"/>
      <c r="D914" s="6"/>
      <c r="E914" s="6"/>
    </row>
    <row r="915" spans="3:5" ht="13" x14ac:dyDescent="0.6">
      <c r="C915" s="6"/>
      <c r="D915" s="6"/>
      <c r="E915" s="6"/>
    </row>
    <row r="916" spans="3:5" ht="13" x14ac:dyDescent="0.6">
      <c r="C916" s="6"/>
      <c r="D916" s="6"/>
      <c r="E916" s="6"/>
    </row>
    <row r="917" spans="3:5" ht="13" x14ac:dyDescent="0.6">
      <c r="C917" s="6"/>
      <c r="D917" s="6"/>
      <c r="E917" s="6"/>
    </row>
    <row r="918" spans="3:5" ht="13" x14ac:dyDescent="0.6">
      <c r="C918" s="6"/>
      <c r="D918" s="6"/>
      <c r="E918" s="6"/>
    </row>
    <row r="919" spans="3:5" ht="13" x14ac:dyDescent="0.6">
      <c r="C919" s="6"/>
      <c r="D919" s="6"/>
      <c r="E919" s="6"/>
    </row>
    <row r="920" spans="3:5" ht="13" x14ac:dyDescent="0.6">
      <c r="C920" s="6"/>
      <c r="D920" s="6"/>
      <c r="E920" s="6"/>
    </row>
    <row r="921" spans="3:5" ht="13" x14ac:dyDescent="0.6">
      <c r="C921" s="6"/>
      <c r="D921" s="6"/>
      <c r="E921" s="6"/>
    </row>
    <row r="922" spans="3:5" ht="13" x14ac:dyDescent="0.6">
      <c r="C922" s="6"/>
      <c r="D922" s="6"/>
      <c r="E922" s="6"/>
    </row>
    <row r="923" spans="3:5" ht="13" x14ac:dyDescent="0.6">
      <c r="C923" s="6"/>
      <c r="D923" s="6"/>
      <c r="E923" s="6"/>
    </row>
    <row r="924" spans="3:5" ht="13" x14ac:dyDescent="0.6">
      <c r="C924" s="6"/>
      <c r="D924" s="6"/>
      <c r="E924" s="6"/>
    </row>
    <row r="925" spans="3:5" ht="13" x14ac:dyDescent="0.6">
      <c r="C925" s="6"/>
      <c r="D925" s="6"/>
      <c r="E925" s="6"/>
    </row>
    <row r="926" spans="3:5" ht="13" x14ac:dyDescent="0.6">
      <c r="C926" s="6"/>
      <c r="D926" s="6"/>
      <c r="E926" s="6"/>
    </row>
    <row r="927" spans="3:5" ht="13" x14ac:dyDescent="0.6">
      <c r="C927" s="6"/>
      <c r="D927" s="6"/>
      <c r="E927" s="6"/>
    </row>
    <row r="928" spans="3:5" ht="13" x14ac:dyDescent="0.6">
      <c r="C928" s="6"/>
      <c r="D928" s="6"/>
      <c r="E928" s="6"/>
    </row>
    <row r="929" spans="3:5" ht="13" x14ac:dyDescent="0.6">
      <c r="C929" s="6"/>
      <c r="D929" s="6"/>
      <c r="E929" s="6"/>
    </row>
    <row r="930" spans="3:5" ht="13" x14ac:dyDescent="0.6">
      <c r="C930" s="6"/>
      <c r="D930" s="6"/>
      <c r="E930" s="6"/>
    </row>
    <row r="931" spans="3:5" ht="13" x14ac:dyDescent="0.6">
      <c r="C931" s="6"/>
      <c r="D931" s="6"/>
      <c r="E931" s="6"/>
    </row>
    <row r="932" spans="3:5" ht="13" x14ac:dyDescent="0.6">
      <c r="C932" s="6"/>
      <c r="D932" s="6"/>
      <c r="E932" s="6"/>
    </row>
    <row r="933" spans="3:5" ht="13" x14ac:dyDescent="0.6">
      <c r="C933" s="6"/>
      <c r="D933" s="6"/>
      <c r="E933" s="6"/>
    </row>
    <row r="934" spans="3:5" ht="13" x14ac:dyDescent="0.6">
      <c r="C934" s="6"/>
      <c r="D934" s="6"/>
      <c r="E934" s="6"/>
    </row>
    <row r="935" spans="3:5" ht="13" x14ac:dyDescent="0.6">
      <c r="C935" s="6"/>
      <c r="D935" s="6"/>
      <c r="E935" s="6"/>
    </row>
    <row r="936" spans="3:5" ht="13" x14ac:dyDescent="0.6">
      <c r="C936" s="6"/>
      <c r="D936" s="6"/>
      <c r="E936" s="6"/>
    </row>
    <row r="937" spans="3:5" ht="13" x14ac:dyDescent="0.6">
      <c r="C937" s="6"/>
      <c r="D937" s="6"/>
      <c r="E937" s="6"/>
    </row>
    <row r="938" spans="3:5" ht="13" x14ac:dyDescent="0.6">
      <c r="C938" s="6"/>
      <c r="D938" s="6"/>
      <c r="E938" s="6"/>
    </row>
    <row r="939" spans="3:5" ht="13" x14ac:dyDescent="0.6">
      <c r="C939" s="6"/>
      <c r="D939" s="6"/>
      <c r="E939" s="6"/>
    </row>
    <row r="940" spans="3:5" ht="13" x14ac:dyDescent="0.6">
      <c r="C940" s="6"/>
      <c r="D940" s="6"/>
      <c r="E940" s="6"/>
    </row>
    <row r="941" spans="3:5" ht="13" x14ac:dyDescent="0.6">
      <c r="C941" s="6"/>
      <c r="D941" s="6"/>
      <c r="E941" s="6"/>
    </row>
    <row r="942" spans="3:5" ht="13" x14ac:dyDescent="0.6">
      <c r="C942" s="6"/>
      <c r="D942" s="6"/>
      <c r="E942" s="6"/>
    </row>
    <row r="943" spans="3:5" ht="13" x14ac:dyDescent="0.6">
      <c r="C943" s="6"/>
      <c r="D943" s="6"/>
      <c r="E943" s="6"/>
    </row>
    <row r="944" spans="3:5" ht="13" x14ac:dyDescent="0.6">
      <c r="C944" s="6"/>
      <c r="D944" s="6"/>
      <c r="E944" s="6"/>
    </row>
    <row r="945" spans="3:5" ht="13" x14ac:dyDescent="0.6">
      <c r="C945" s="6"/>
      <c r="D945" s="6"/>
      <c r="E945" s="6"/>
    </row>
    <row r="946" spans="3:5" ht="13" x14ac:dyDescent="0.6">
      <c r="C946" s="6"/>
      <c r="D946" s="6"/>
      <c r="E946" s="6"/>
    </row>
    <row r="947" spans="3:5" ht="13" x14ac:dyDescent="0.6">
      <c r="C947" s="6"/>
      <c r="D947" s="6"/>
      <c r="E947" s="6"/>
    </row>
    <row r="948" spans="3:5" ht="13" x14ac:dyDescent="0.6">
      <c r="C948" s="6"/>
      <c r="D948" s="6"/>
      <c r="E948" s="6"/>
    </row>
    <row r="949" spans="3:5" ht="13" x14ac:dyDescent="0.6">
      <c r="C949" s="6"/>
      <c r="D949" s="6"/>
      <c r="E949" s="6"/>
    </row>
    <row r="950" spans="3:5" ht="13" x14ac:dyDescent="0.6">
      <c r="C950" s="6"/>
      <c r="D950" s="6"/>
      <c r="E950" s="6"/>
    </row>
    <row r="951" spans="3:5" ht="13" x14ac:dyDescent="0.6">
      <c r="C951" s="6"/>
      <c r="D951" s="6"/>
      <c r="E951" s="6"/>
    </row>
    <row r="952" spans="3:5" ht="13" x14ac:dyDescent="0.6">
      <c r="C952" s="6"/>
      <c r="D952" s="6"/>
      <c r="E952" s="6"/>
    </row>
    <row r="953" spans="3:5" ht="13" x14ac:dyDescent="0.6">
      <c r="C953" s="6"/>
      <c r="D953" s="6"/>
      <c r="E953" s="6"/>
    </row>
    <row r="954" spans="3:5" ht="13" x14ac:dyDescent="0.6">
      <c r="C954" s="6"/>
      <c r="D954" s="6"/>
      <c r="E954" s="6"/>
    </row>
    <row r="955" spans="3:5" ht="13" x14ac:dyDescent="0.6">
      <c r="C955" s="6"/>
      <c r="D955" s="6"/>
      <c r="E955" s="6"/>
    </row>
    <row r="956" spans="3:5" ht="13" x14ac:dyDescent="0.6">
      <c r="C956" s="6"/>
      <c r="D956" s="6"/>
      <c r="E956" s="6"/>
    </row>
    <row r="957" spans="3:5" ht="13" x14ac:dyDescent="0.6">
      <c r="C957" s="6"/>
      <c r="D957" s="6"/>
      <c r="E957" s="6"/>
    </row>
    <row r="958" spans="3:5" ht="13" x14ac:dyDescent="0.6">
      <c r="C958" s="6"/>
      <c r="D958" s="6"/>
      <c r="E958" s="6"/>
    </row>
    <row r="959" spans="3:5" ht="13" x14ac:dyDescent="0.6">
      <c r="C959" s="6"/>
      <c r="D959" s="6"/>
      <c r="E959" s="6"/>
    </row>
    <row r="960" spans="3:5" ht="13" x14ac:dyDescent="0.6">
      <c r="C960" s="6"/>
      <c r="D960" s="6"/>
      <c r="E960" s="6"/>
    </row>
    <row r="961" spans="3:5" ht="13" x14ac:dyDescent="0.6">
      <c r="C961" s="6"/>
      <c r="D961" s="6"/>
      <c r="E961" s="6"/>
    </row>
    <row r="962" spans="3:5" ht="13" x14ac:dyDescent="0.6">
      <c r="C962" s="6"/>
      <c r="D962" s="6"/>
      <c r="E962" s="6"/>
    </row>
    <row r="963" spans="3:5" ht="13" x14ac:dyDescent="0.6">
      <c r="C963" s="6"/>
      <c r="D963" s="6"/>
      <c r="E963" s="6"/>
    </row>
    <row r="964" spans="3:5" ht="13" x14ac:dyDescent="0.6">
      <c r="C964" s="6"/>
      <c r="D964" s="6"/>
      <c r="E964" s="6"/>
    </row>
    <row r="965" spans="3:5" ht="13" x14ac:dyDescent="0.6">
      <c r="C965" s="6"/>
      <c r="D965" s="6"/>
      <c r="E965" s="6"/>
    </row>
    <row r="966" spans="3:5" ht="13" x14ac:dyDescent="0.6">
      <c r="C966" s="6"/>
      <c r="D966" s="6"/>
      <c r="E966" s="6"/>
    </row>
    <row r="967" spans="3:5" ht="13" x14ac:dyDescent="0.6">
      <c r="C967" s="6"/>
      <c r="D967" s="6"/>
      <c r="E967" s="6"/>
    </row>
    <row r="968" spans="3:5" ht="13" x14ac:dyDescent="0.6">
      <c r="C968" s="6"/>
      <c r="D968" s="6"/>
      <c r="E968" s="6"/>
    </row>
    <row r="969" spans="3:5" ht="13" x14ac:dyDescent="0.6">
      <c r="C969" s="6"/>
      <c r="D969" s="6"/>
      <c r="E969" s="6"/>
    </row>
    <row r="970" spans="3:5" ht="13" x14ac:dyDescent="0.6">
      <c r="C970" s="6"/>
      <c r="D970" s="6"/>
      <c r="E970" s="6"/>
    </row>
    <row r="971" spans="3:5" ht="13" x14ac:dyDescent="0.6">
      <c r="C971" s="6"/>
      <c r="D971" s="6"/>
      <c r="E971" s="6"/>
    </row>
    <row r="972" spans="3:5" ht="13" x14ac:dyDescent="0.6">
      <c r="C972" s="6"/>
      <c r="D972" s="6"/>
      <c r="E972" s="6"/>
    </row>
    <row r="973" spans="3:5" ht="13" x14ac:dyDescent="0.6">
      <c r="C973" s="6"/>
      <c r="D973" s="6"/>
      <c r="E973" s="6"/>
    </row>
    <row r="974" spans="3:5" ht="13" x14ac:dyDescent="0.6">
      <c r="C974" s="6"/>
      <c r="D974" s="6"/>
      <c r="E974" s="6"/>
    </row>
    <row r="975" spans="3:5" ht="13" x14ac:dyDescent="0.6">
      <c r="C975" s="6"/>
      <c r="D975" s="6"/>
      <c r="E975" s="6"/>
    </row>
    <row r="976" spans="3:5" ht="13" x14ac:dyDescent="0.6">
      <c r="C976" s="6"/>
      <c r="D976" s="6"/>
      <c r="E976" s="6"/>
    </row>
    <row r="977" spans="3:5" ht="13" x14ac:dyDescent="0.6">
      <c r="C977" s="6"/>
      <c r="D977" s="6"/>
      <c r="E977" s="6"/>
    </row>
    <row r="978" spans="3:5" ht="13" x14ac:dyDescent="0.6">
      <c r="C978" s="6"/>
      <c r="D978" s="6"/>
      <c r="E978" s="6"/>
    </row>
    <row r="979" spans="3:5" ht="13" x14ac:dyDescent="0.6">
      <c r="C979" s="6"/>
      <c r="D979" s="6"/>
      <c r="E979" s="6"/>
    </row>
    <row r="980" spans="3:5" ht="13" x14ac:dyDescent="0.6">
      <c r="C980" s="6"/>
      <c r="D980" s="6"/>
      <c r="E980" s="6"/>
    </row>
    <row r="981" spans="3:5" ht="13" x14ac:dyDescent="0.6">
      <c r="C981" s="6"/>
      <c r="D981" s="6"/>
      <c r="E981" s="6"/>
    </row>
    <row r="982" spans="3:5" ht="13" x14ac:dyDescent="0.6">
      <c r="C982" s="6"/>
      <c r="D982" s="6"/>
      <c r="E982" s="6"/>
    </row>
    <row r="983" spans="3:5" ht="13" x14ac:dyDescent="0.6">
      <c r="C983" s="6"/>
      <c r="D983" s="6"/>
      <c r="E983" s="6"/>
    </row>
    <row r="984" spans="3:5" ht="13" x14ac:dyDescent="0.6">
      <c r="C984" s="6"/>
      <c r="D984" s="6"/>
      <c r="E984" s="6"/>
    </row>
    <row r="985" spans="3:5" ht="13" x14ac:dyDescent="0.6">
      <c r="C985" s="6"/>
      <c r="D985" s="6"/>
      <c r="E985" s="6"/>
    </row>
    <row r="986" spans="3:5" ht="13" x14ac:dyDescent="0.6">
      <c r="C986" s="6"/>
      <c r="D986" s="6"/>
      <c r="E98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O932"/>
  <sheetViews>
    <sheetView workbookViewId="0">
      <pane xSplit="4" ySplit="1" topLeftCell="E116" activePane="bottomRight" state="frozen"/>
      <selection pane="topRight" activeCell="E1" sqref="E1"/>
      <selection pane="bottomLeft" activeCell="A2" sqref="A2"/>
      <selection pane="bottomRight" activeCell="D13" sqref="D13"/>
    </sheetView>
  </sheetViews>
  <sheetFormatPr defaultColWidth="12.6328125" defaultRowHeight="15" customHeight="1" x14ac:dyDescent="0.6"/>
  <cols>
    <col min="1" max="1" width="14.7265625" customWidth="1"/>
    <col min="2" max="2" width="21.86328125" customWidth="1"/>
    <col min="3" max="3" width="13.7265625" customWidth="1"/>
    <col min="4" max="4" width="17.6328125" customWidth="1"/>
    <col min="5" max="41" width="8.7265625" customWidth="1"/>
  </cols>
  <sheetData>
    <row r="1" spans="1:41" ht="15.75" customHeight="1" x14ac:dyDescent="0.6">
      <c r="A1" s="8" t="s">
        <v>25</v>
      </c>
      <c r="B1" s="8" t="s">
        <v>26</v>
      </c>
      <c r="C1" s="8" t="s">
        <v>27</v>
      </c>
      <c r="D1" s="8" t="s">
        <v>28</v>
      </c>
      <c r="E1" s="9">
        <v>46023</v>
      </c>
      <c r="F1" s="9">
        <v>46024</v>
      </c>
      <c r="G1" s="9">
        <v>46025</v>
      </c>
      <c r="H1" s="9">
        <v>46026</v>
      </c>
      <c r="I1" s="9">
        <v>46027</v>
      </c>
      <c r="J1" s="9">
        <v>46028</v>
      </c>
      <c r="K1" s="9">
        <v>46029</v>
      </c>
      <c r="L1" s="9">
        <v>46030</v>
      </c>
      <c r="M1" s="9">
        <v>46031</v>
      </c>
      <c r="N1" s="9">
        <v>46032</v>
      </c>
      <c r="O1" s="9">
        <v>46033</v>
      </c>
      <c r="P1" s="9">
        <v>46034</v>
      </c>
      <c r="Q1" s="9">
        <v>46035</v>
      </c>
      <c r="R1" s="9">
        <v>46036</v>
      </c>
      <c r="S1" s="9">
        <v>46037</v>
      </c>
      <c r="T1" s="9">
        <v>46038</v>
      </c>
      <c r="U1" s="9">
        <v>46039</v>
      </c>
      <c r="V1" s="9">
        <v>46040</v>
      </c>
      <c r="W1" s="9">
        <v>46041</v>
      </c>
      <c r="X1" s="9">
        <v>46042</v>
      </c>
      <c r="Y1" s="9">
        <v>46043</v>
      </c>
      <c r="Z1" s="9">
        <v>46044</v>
      </c>
      <c r="AA1" s="9">
        <v>46045</v>
      </c>
      <c r="AB1" s="9">
        <v>46046</v>
      </c>
      <c r="AC1" s="9">
        <v>46047</v>
      </c>
      <c r="AD1" s="9">
        <v>46048</v>
      </c>
      <c r="AE1" s="9">
        <v>46049</v>
      </c>
      <c r="AF1" s="9">
        <v>46050</v>
      </c>
      <c r="AG1" s="9">
        <v>46051</v>
      </c>
      <c r="AH1" s="9">
        <v>46052</v>
      </c>
      <c r="AI1" s="9">
        <v>46053</v>
      </c>
      <c r="AJ1" s="9"/>
      <c r="AK1" s="2" t="s">
        <v>29</v>
      </c>
      <c r="AL1" s="9"/>
      <c r="AM1" s="9"/>
      <c r="AN1" s="9"/>
      <c r="AO1" s="9"/>
    </row>
    <row r="2" spans="1:41" ht="15.75" customHeight="1" x14ac:dyDescent="0.6">
      <c r="A2" s="10" t="s">
        <v>30</v>
      </c>
      <c r="B2" s="10" t="s">
        <v>31</v>
      </c>
      <c r="C2" s="10" t="s">
        <v>32</v>
      </c>
      <c r="D2" s="10" t="s">
        <v>33</v>
      </c>
      <c r="E2" s="10"/>
      <c r="F2" s="10">
        <v>154000</v>
      </c>
      <c r="G2" s="10"/>
      <c r="H2" s="10"/>
      <c r="I2" s="10">
        <v>154000</v>
      </c>
      <c r="J2" s="10">
        <v>154000</v>
      </c>
      <c r="K2" s="10">
        <v>154000</v>
      </c>
      <c r="L2" s="10">
        <v>154000</v>
      </c>
      <c r="M2" s="10">
        <v>154000</v>
      </c>
      <c r="N2" s="10"/>
      <c r="O2" s="10"/>
      <c r="P2" s="10">
        <v>154000</v>
      </c>
      <c r="Q2" s="10">
        <v>154000</v>
      </c>
      <c r="R2" s="10">
        <v>154000</v>
      </c>
      <c r="S2" s="10">
        <v>154000</v>
      </c>
      <c r="T2" s="10"/>
      <c r="U2" s="10"/>
      <c r="V2" s="10"/>
      <c r="W2" s="10">
        <v>154000</v>
      </c>
      <c r="X2" s="10">
        <v>154000</v>
      </c>
      <c r="Y2" s="10">
        <v>154000</v>
      </c>
      <c r="Z2" s="10">
        <v>154000</v>
      </c>
      <c r="AA2" s="10">
        <v>154000</v>
      </c>
      <c r="AB2" s="10"/>
      <c r="AC2" s="10"/>
      <c r="AD2" s="10">
        <v>154000</v>
      </c>
      <c r="AE2" s="10">
        <v>154000</v>
      </c>
      <c r="AF2" s="10">
        <v>154000</v>
      </c>
      <c r="AG2" s="10">
        <v>154000</v>
      </c>
      <c r="AH2" s="10">
        <v>154000</v>
      </c>
      <c r="AI2" s="10"/>
      <c r="AJ2" s="10"/>
      <c r="AK2" s="11">
        <f>AVERAGE(E2:AI2)</f>
        <v>154000</v>
      </c>
      <c r="AL2" s="10"/>
      <c r="AM2" s="10"/>
      <c r="AN2" s="10"/>
      <c r="AO2" s="10"/>
    </row>
    <row r="3" spans="1:41" ht="15.75" customHeight="1" x14ac:dyDescent="0.6">
      <c r="A3" s="10" t="s">
        <v>30</v>
      </c>
      <c r="B3" s="10" t="s">
        <v>31</v>
      </c>
      <c r="C3" s="10" t="s">
        <v>32</v>
      </c>
      <c r="D3" s="10" t="s">
        <v>34</v>
      </c>
      <c r="E3" s="10"/>
      <c r="F3" s="10">
        <v>160000</v>
      </c>
      <c r="G3" s="10"/>
      <c r="H3" s="10"/>
      <c r="I3" s="10">
        <v>160000</v>
      </c>
      <c r="J3" s="10">
        <v>160000</v>
      </c>
      <c r="K3" s="10">
        <v>160000</v>
      </c>
      <c r="L3" s="10">
        <v>160000</v>
      </c>
      <c r="M3" s="10">
        <v>160000</v>
      </c>
      <c r="N3" s="10"/>
      <c r="O3" s="10"/>
      <c r="P3" s="10">
        <v>160000</v>
      </c>
      <c r="Q3" s="10">
        <v>160000</v>
      </c>
      <c r="R3" s="10">
        <v>160000</v>
      </c>
      <c r="S3" s="10">
        <v>160000</v>
      </c>
      <c r="T3" s="10"/>
      <c r="U3" s="10"/>
      <c r="V3" s="10"/>
      <c r="W3" s="10">
        <v>160000</v>
      </c>
      <c r="X3" s="10">
        <v>160000</v>
      </c>
      <c r="Y3" s="10">
        <v>160000</v>
      </c>
      <c r="Z3" s="10">
        <v>160000</v>
      </c>
      <c r="AA3" s="10">
        <v>160000</v>
      </c>
      <c r="AB3" s="10"/>
      <c r="AC3" s="10"/>
      <c r="AD3" s="10">
        <v>160000</v>
      </c>
      <c r="AE3" s="10">
        <v>160000</v>
      </c>
      <c r="AF3" s="10">
        <v>160000</v>
      </c>
      <c r="AG3" s="10">
        <v>160000</v>
      </c>
      <c r="AH3" s="10">
        <v>160000</v>
      </c>
      <c r="AI3" s="10"/>
      <c r="AJ3" s="10"/>
      <c r="AK3" s="11"/>
      <c r="AL3" s="10"/>
      <c r="AM3" s="10"/>
      <c r="AN3" s="10"/>
      <c r="AO3" s="10"/>
    </row>
    <row r="4" spans="1:41" ht="15.75" customHeight="1" x14ac:dyDescent="0.6">
      <c r="A4" s="10" t="s">
        <v>30</v>
      </c>
      <c r="B4" s="10" t="s">
        <v>31</v>
      </c>
      <c r="C4" s="10" t="s">
        <v>32</v>
      </c>
      <c r="D4" s="10" t="s">
        <v>35</v>
      </c>
      <c r="E4" s="10"/>
      <c r="F4" s="10">
        <v>140000</v>
      </c>
      <c r="G4" s="10"/>
      <c r="H4" s="10"/>
      <c r="I4" s="10">
        <v>140000</v>
      </c>
      <c r="J4" s="10">
        <v>140000</v>
      </c>
      <c r="K4" s="10">
        <v>140000</v>
      </c>
      <c r="L4" s="10">
        <v>140000</v>
      </c>
      <c r="M4" s="10">
        <v>140000</v>
      </c>
      <c r="N4" s="10"/>
      <c r="O4" s="10"/>
      <c r="P4" s="10">
        <v>140000</v>
      </c>
      <c r="Q4" s="10">
        <v>140000</v>
      </c>
      <c r="R4" s="10">
        <v>140000</v>
      </c>
      <c r="S4" s="10">
        <v>140000</v>
      </c>
      <c r="T4" s="10"/>
      <c r="U4" s="10"/>
      <c r="V4" s="10"/>
      <c r="W4" s="10">
        <v>140000</v>
      </c>
      <c r="X4" s="10">
        <v>140000</v>
      </c>
      <c r="Y4" s="10">
        <v>140000</v>
      </c>
      <c r="Z4" s="10">
        <v>140000</v>
      </c>
      <c r="AA4" s="10">
        <v>140000</v>
      </c>
      <c r="AB4" s="10"/>
      <c r="AC4" s="10"/>
      <c r="AD4" s="10">
        <v>140000</v>
      </c>
      <c r="AE4" s="10">
        <v>140000</v>
      </c>
      <c r="AF4" s="10">
        <v>140000</v>
      </c>
      <c r="AG4" s="10">
        <v>140000</v>
      </c>
      <c r="AH4" s="10">
        <v>140000</v>
      </c>
      <c r="AI4" s="10"/>
      <c r="AJ4" s="10"/>
      <c r="AK4" s="11"/>
      <c r="AL4" s="10"/>
      <c r="AM4" s="10"/>
      <c r="AN4" s="10"/>
      <c r="AO4" s="10"/>
    </row>
    <row r="5" spans="1:41" ht="15.75" customHeight="1" x14ac:dyDescent="0.6">
      <c r="A5" s="10" t="s">
        <v>30</v>
      </c>
      <c r="B5" s="10" t="s">
        <v>31</v>
      </c>
      <c r="C5" s="10" t="s">
        <v>32</v>
      </c>
      <c r="D5" s="10" t="s">
        <v>36</v>
      </c>
      <c r="E5" s="10"/>
      <c r="F5" s="10">
        <v>150000</v>
      </c>
      <c r="G5" s="10"/>
      <c r="H5" s="10"/>
      <c r="I5" s="10">
        <v>150000</v>
      </c>
      <c r="J5" s="10">
        <v>150000</v>
      </c>
      <c r="K5" s="10">
        <v>150000</v>
      </c>
      <c r="L5" s="10">
        <v>150000</v>
      </c>
      <c r="M5" s="10">
        <v>150000</v>
      </c>
      <c r="N5" s="10"/>
      <c r="O5" s="10"/>
      <c r="P5" s="10">
        <v>150000</v>
      </c>
      <c r="Q5" s="10">
        <v>150000</v>
      </c>
      <c r="R5" s="10">
        <v>150000</v>
      </c>
      <c r="S5" s="10">
        <v>150000</v>
      </c>
      <c r="T5" s="10"/>
      <c r="U5" s="10"/>
      <c r="V5" s="10"/>
      <c r="W5" s="10">
        <v>150000</v>
      </c>
      <c r="X5" s="10">
        <v>150000</v>
      </c>
      <c r="Y5" s="10">
        <v>150000</v>
      </c>
      <c r="Z5" s="10">
        <v>150000</v>
      </c>
      <c r="AA5" s="10">
        <v>150000</v>
      </c>
      <c r="AB5" s="10"/>
      <c r="AC5" s="10"/>
      <c r="AD5" s="10">
        <v>150000</v>
      </c>
      <c r="AE5" s="10">
        <v>150000</v>
      </c>
      <c r="AF5" s="10">
        <v>150000</v>
      </c>
      <c r="AG5" s="10">
        <v>150000</v>
      </c>
      <c r="AH5" s="10">
        <v>150000</v>
      </c>
      <c r="AI5" s="10"/>
      <c r="AJ5" s="10"/>
      <c r="AK5" s="11"/>
      <c r="AL5" s="10"/>
      <c r="AM5" s="10"/>
      <c r="AN5" s="10"/>
      <c r="AO5" s="10"/>
    </row>
    <row r="6" spans="1:41" ht="15.75" customHeight="1" x14ac:dyDescent="0.6">
      <c r="A6" s="10" t="s">
        <v>30</v>
      </c>
      <c r="B6" s="10" t="s">
        <v>31</v>
      </c>
      <c r="C6" s="10" t="s">
        <v>32</v>
      </c>
      <c r="D6" s="10" t="s">
        <v>37</v>
      </c>
      <c r="E6" s="10"/>
      <c r="F6" s="10">
        <v>150000</v>
      </c>
      <c r="G6" s="10"/>
      <c r="H6" s="10"/>
      <c r="I6" s="10">
        <v>150000</v>
      </c>
      <c r="J6" s="10">
        <v>150000</v>
      </c>
      <c r="K6" s="10">
        <v>150000</v>
      </c>
      <c r="L6" s="10">
        <v>150000</v>
      </c>
      <c r="M6" s="10">
        <v>150000</v>
      </c>
      <c r="N6" s="10"/>
      <c r="O6" s="10"/>
      <c r="P6" s="10">
        <v>150000</v>
      </c>
      <c r="Q6" s="10">
        <v>150000</v>
      </c>
      <c r="R6" s="10">
        <v>150000</v>
      </c>
      <c r="S6" s="10">
        <v>150000</v>
      </c>
      <c r="T6" s="10"/>
      <c r="U6" s="10"/>
      <c r="V6" s="10"/>
      <c r="W6" s="10">
        <v>150000</v>
      </c>
      <c r="X6" s="10">
        <v>150000</v>
      </c>
      <c r="Y6" s="10">
        <v>150000</v>
      </c>
      <c r="Z6" s="10">
        <v>150000</v>
      </c>
      <c r="AA6" s="10">
        <v>150000</v>
      </c>
      <c r="AB6" s="10"/>
      <c r="AC6" s="10"/>
      <c r="AD6" s="10">
        <v>150000</v>
      </c>
      <c r="AE6" s="10">
        <v>150000</v>
      </c>
      <c r="AF6" s="10">
        <v>150000</v>
      </c>
      <c r="AG6" s="10">
        <v>150000</v>
      </c>
      <c r="AH6" s="10">
        <v>150000</v>
      </c>
      <c r="AI6" s="10"/>
      <c r="AJ6" s="10"/>
      <c r="AK6" s="11"/>
      <c r="AL6" s="10"/>
      <c r="AM6" s="10"/>
      <c r="AN6" s="10"/>
      <c r="AO6" s="10"/>
    </row>
    <row r="7" spans="1:41" ht="15.75" customHeight="1" x14ac:dyDescent="0.6">
      <c r="A7" s="10" t="s">
        <v>30</v>
      </c>
      <c r="B7" s="10" t="s">
        <v>31</v>
      </c>
      <c r="C7" s="10" t="s">
        <v>32</v>
      </c>
      <c r="D7" s="10" t="s">
        <v>38</v>
      </c>
      <c r="E7" s="10"/>
      <c r="F7" s="10">
        <v>150000</v>
      </c>
      <c r="G7" s="10"/>
      <c r="H7" s="10"/>
      <c r="I7" s="10">
        <v>150000</v>
      </c>
      <c r="J7" s="10">
        <v>150000</v>
      </c>
      <c r="K7" s="10">
        <v>150000</v>
      </c>
      <c r="L7" s="10">
        <v>150000</v>
      </c>
      <c r="M7" s="10">
        <v>150000</v>
      </c>
      <c r="N7" s="10"/>
      <c r="O7" s="10"/>
      <c r="P7" s="10">
        <v>150000</v>
      </c>
      <c r="Q7" s="10">
        <v>150000</v>
      </c>
      <c r="R7" s="10">
        <v>150000</v>
      </c>
      <c r="S7" s="10">
        <v>150000</v>
      </c>
      <c r="T7" s="10"/>
      <c r="U7" s="10"/>
      <c r="V7" s="10"/>
      <c r="W7" s="10">
        <v>150000</v>
      </c>
      <c r="X7" s="10">
        <v>150000</v>
      </c>
      <c r="Y7" s="10">
        <v>150000</v>
      </c>
      <c r="Z7" s="10">
        <v>150000</v>
      </c>
      <c r="AA7" s="10">
        <v>150000</v>
      </c>
      <c r="AB7" s="10"/>
      <c r="AC7" s="10"/>
      <c r="AD7" s="10">
        <v>150000</v>
      </c>
      <c r="AE7" s="10">
        <v>150000</v>
      </c>
      <c r="AF7" s="10">
        <v>150000</v>
      </c>
      <c r="AG7" s="10">
        <v>150000</v>
      </c>
      <c r="AH7" s="10">
        <v>150000</v>
      </c>
      <c r="AI7" s="10"/>
      <c r="AJ7" s="10"/>
      <c r="AK7" s="11"/>
      <c r="AL7" s="10"/>
      <c r="AM7" s="10"/>
      <c r="AN7" s="10"/>
      <c r="AO7" s="10"/>
    </row>
    <row r="8" spans="1:41" ht="15.75" customHeight="1" x14ac:dyDescent="0.6">
      <c r="A8" s="10" t="s">
        <v>30</v>
      </c>
      <c r="B8" s="10" t="s">
        <v>31</v>
      </c>
      <c r="C8" s="10" t="s">
        <v>32</v>
      </c>
      <c r="D8" s="10" t="s">
        <v>39</v>
      </c>
      <c r="E8" s="10"/>
      <c r="F8" s="10">
        <v>180000</v>
      </c>
      <c r="G8" s="10"/>
      <c r="H8" s="10"/>
      <c r="I8" s="10">
        <v>180000</v>
      </c>
      <c r="J8" s="10">
        <v>180000</v>
      </c>
      <c r="K8" s="10">
        <v>180000</v>
      </c>
      <c r="L8" s="10">
        <v>180000</v>
      </c>
      <c r="M8" s="10">
        <v>180000</v>
      </c>
      <c r="N8" s="10"/>
      <c r="O8" s="10"/>
      <c r="P8" s="10">
        <v>180000</v>
      </c>
      <c r="Q8" s="10">
        <v>180000</v>
      </c>
      <c r="R8" s="10">
        <v>180000</v>
      </c>
      <c r="S8" s="10">
        <v>180000</v>
      </c>
      <c r="T8" s="10"/>
      <c r="U8" s="10"/>
      <c r="V8" s="10"/>
      <c r="W8" s="10">
        <v>180000</v>
      </c>
      <c r="X8" s="10">
        <v>180000</v>
      </c>
      <c r="Y8" s="10">
        <v>180000</v>
      </c>
      <c r="Z8" s="10">
        <v>180000</v>
      </c>
      <c r="AA8" s="10">
        <v>180000</v>
      </c>
      <c r="AB8" s="10"/>
      <c r="AC8" s="10"/>
      <c r="AD8" s="10">
        <v>180000</v>
      </c>
      <c r="AE8" s="10">
        <v>180000</v>
      </c>
      <c r="AF8" s="10">
        <v>180000</v>
      </c>
      <c r="AG8" s="10">
        <v>180000</v>
      </c>
      <c r="AH8" s="10">
        <v>180000</v>
      </c>
      <c r="AI8" s="10"/>
      <c r="AJ8" s="10"/>
      <c r="AK8" s="11"/>
      <c r="AL8" s="10"/>
      <c r="AM8" s="10"/>
      <c r="AN8" s="10"/>
      <c r="AO8" s="10"/>
    </row>
    <row r="9" spans="1:41" ht="15.75" customHeight="1" x14ac:dyDescent="0.6">
      <c r="A9" s="10" t="s">
        <v>30</v>
      </c>
      <c r="B9" s="10" t="s">
        <v>31</v>
      </c>
      <c r="C9" s="10" t="s">
        <v>32</v>
      </c>
      <c r="D9" s="10" t="s">
        <v>40</v>
      </c>
      <c r="E9" s="10"/>
      <c r="F9" s="10">
        <v>170000</v>
      </c>
      <c r="G9" s="10"/>
      <c r="H9" s="10"/>
      <c r="I9" s="10">
        <v>170000</v>
      </c>
      <c r="J9" s="10">
        <v>170000</v>
      </c>
      <c r="K9" s="10">
        <v>170000</v>
      </c>
      <c r="L9" s="10">
        <v>170000</v>
      </c>
      <c r="M9" s="10">
        <v>170000</v>
      </c>
      <c r="N9" s="10"/>
      <c r="O9" s="10"/>
      <c r="P9" s="10">
        <v>160000</v>
      </c>
      <c r="Q9" s="10">
        <v>160000</v>
      </c>
      <c r="R9" s="10">
        <v>160000</v>
      </c>
      <c r="S9" s="10">
        <v>160000</v>
      </c>
      <c r="T9" s="10"/>
      <c r="U9" s="10"/>
      <c r="V9" s="10"/>
      <c r="W9" s="10">
        <v>160000</v>
      </c>
      <c r="X9" s="10">
        <v>160000</v>
      </c>
      <c r="Y9" s="10">
        <v>160000</v>
      </c>
      <c r="Z9" s="10">
        <v>160000</v>
      </c>
      <c r="AA9" s="10">
        <v>160000</v>
      </c>
      <c r="AB9" s="10"/>
      <c r="AC9" s="10"/>
      <c r="AD9" s="10">
        <v>160000</v>
      </c>
      <c r="AE9" s="10">
        <v>160000</v>
      </c>
      <c r="AF9" s="10">
        <v>160000</v>
      </c>
      <c r="AG9" s="10">
        <v>160000</v>
      </c>
      <c r="AH9" s="10">
        <v>160000</v>
      </c>
      <c r="AI9" s="10"/>
      <c r="AJ9" s="10"/>
      <c r="AK9" s="11"/>
      <c r="AL9" s="10"/>
      <c r="AM9" s="10"/>
      <c r="AN9" s="10"/>
      <c r="AO9" s="10"/>
    </row>
    <row r="10" spans="1:41" ht="15.75" customHeight="1" x14ac:dyDescent="0.6">
      <c r="A10" s="10" t="s">
        <v>30</v>
      </c>
      <c r="B10" s="10" t="s">
        <v>31</v>
      </c>
      <c r="C10" s="10" t="s">
        <v>32</v>
      </c>
      <c r="D10" s="10" t="s">
        <v>41</v>
      </c>
      <c r="E10" s="10"/>
      <c r="F10" s="10">
        <v>160000</v>
      </c>
      <c r="G10" s="10"/>
      <c r="H10" s="10"/>
      <c r="I10" s="10">
        <v>160000</v>
      </c>
      <c r="J10" s="10">
        <v>160000</v>
      </c>
      <c r="K10" s="10">
        <v>160000</v>
      </c>
      <c r="L10" s="10">
        <v>160000</v>
      </c>
      <c r="M10" s="10">
        <v>160000</v>
      </c>
      <c r="N10" s="10"/>
      <c r="O10" s="10"/>
      <c r="P10" s="10">
        <v>160000</v>
      </c>
      <c r="Q10" s="10">
        <v>160000</v>
      </c>
      <c r="R10" s="10">
        <v>160000</v>
      </c>
      <c r="S10" s="10">
        <v>160000</v>
      </c>
      <c r="T10" s="10"/>
      <c r="U10" s="10"/>
      <c r="V10" s="10"/>
      <c r="W10" s="10">
        <v>160000</v>
      </c>
      <c r="X10" s="10">
        <v>160000</v>
      </c>
      <c r="Y10" s="10">
        <v>160000</v>
      </c>
      <c r="Z10" s="10">
        <v>160000</v>
      </c>
      <c r="AA10" s="10">
        <v>160000</v>
      </c>
      <c r="AB10" s="10"/>
      <c r="AC10" s="10"/>
      <c r="AD10" s="10">
        <v>160000</v>
      </c>
      <c r="AE10" s="10">
        <v>160000</v>
      </c>
      <c r="AF10" s="10">
        <v>160000</v>
      </c>
      <c r="AG10" s="10">
        <v>160000</v>
      </c>
      <c r="AH10" s="10">
        <v>160000</v>
      </c>
      <c r="AI10" s="10"/>
      <c r="AJ10" s="10"/>
      <c r="AK10" s="11"/>
      <c r="AL10" s="10"/>
      <c r="AM10" s="10"/>
      <c r="AN10" s="10"/>
      <c r="AO10" s="10"/>
    </row>
    <row r="11" spans="1:41" ht="15.75" customHeight="1" x14ac:dyDescent="0.6">
      <c r="A11" s="10" t="s">
        <v>30</v>
      </c>
      <c r="B11" s="10" t="s">
        <v>31</v>
      </c>
      <c r="C11" s="10" t="s">
        <v>32</v>
      </c>
      <c r="D11" s="10" t="s">
        <v>42</v>
      </c>
      <c r="E11" s="10"/>
      <c r="F11" s="10">
        <v>160000</v>
      </c>
      <c r="G11" s="10"/>
      <c r="H11" s="10"/>
      <c r="I11" s="10">
        <v>160000</v>
      </c>
      <c r="J11" s="10">
        <v>160000</v>
      </c>
      <c r="K11" s="10">
        <v>160000</v>
      </c>
      <c r="L11" s="10">
        <v>160000</v>
      </c>
      <c r="M11" s="10">
        <v>160000</v>
      </c>
      <c r="N11" s="10"/>
      <c r="O11" s="10"/>
      <c r="P11" s="10">
        <v>160000</v>
      </c>
      <c r="Q11" s="10">
        <v>160000</v>
      </c>
      <c r="R11" s="10">
        <v>160000</v>
      </c>
      <c r="S11" s="10">
        <v>160000</v>
      </c>
      <c r="T11" s="10"/>
      <c r="U11" s="10"/>
      <c r="V11" s="10"/>
      <c r="W11" s="10">
        <v>160000</v>
      </c>
      <c r="X11" s="10">
        <v>160000</v>
      </c>
      <c r="Y11" s="10">
        <v>160000</v>
      </c>
      <c r="Z11" s="10">
        <v>160000</v>
      </c>
      <c r="AA11" s="10">
        <v>160000</v>
      </c>
      <c r="AB11" s="10"/>
      <c r="AC11" s="10"/>
      <c r="AD11" s="10">
        <v>160000</v>
      </c>
      <c r="AE11" s="10">
        <v>160000</v>
      </c>
      <c r="AF11" s="10">
        <v>160000</v>
      </c>
      <c r="AG11" s="10">
        <v>160000</v>
      </c>
      <c r="AH11" s="10">
        <v>160000</v>
      </c>
      <c r="AI11" s="10"/>
      <c r="AJ11" s="10"/>
      <c r="AK11" s="11"/>
      <c r="AL11" s="10"/>
      <c r="AM11" s="10"/>
      <c r="AN11" s="10"/>
      <c r="AO11" s="10"/>
    </row>
    <row r="12" spans="1:41" ht="15.75" customHeight="1" x14ac:dyDescent="0.6">
      <c r="A12" s="10" t="s">
        <v>30</v>
      </c>
      <c r="B12" s="10" t="s">
        <v>31</v>
      </c>
      <c r="C12" s="10" t="s">
        <v>32</v>
      </c>
      <c r="D12" s="10" t="s">
        <v>43</v>
      </c>
      <c r="E12" s="10"/>
      <c r="F12" s="10">
        <v>160000</v>
      </c>
      <c r="G12" s="10"/>
      <c r="H12" s="10"/>
      <c r="I12" s="10">
        <v>160000</v>
      </c>
      <c r="J12" s="10">
        <v>160000</v>
      </c>
      <c r="K12" s="10">
        <v>160000</v>
      </c>
      <c r="L12" s="10">
        <v>160000</v>
      </c>
      <c r="M12" s="10">
        <v>160000</v>
      </c>
      <c r="N12" s="10"/>
      <c r="O12" s="10"/>
      <c r="P12" s="10">
        <v>160000</v>
      </c>
      <c r="Q12" s="10">
        <v>160000</v>
      </c>
      <c r="R12" s="10">
        <v>160000</v>
      </c>
      <c r="S12" s="10">
        <v>160000</v>
      </c>
      <c r="T12" s="10"/>
      <c r="U12" s="10"/>
      <c r="V12" s="10"/>
      <c r="W12" s="10">
        <v>160000</v>
      </c>
      <c r="X12" s="10">
        <v>160000</v>
      </c>
      <c r="Y12" s="10">
        <v>160000</v>
      </c>
      <c r="Z12" s="10">
        <v>160000</v>
      </c>
      <c r="AA12" s="10">
        <v>160000</v>
      </c>
      <c r="AB12" s="10"/>
      <c r="AC12" s="10"/>
      <c r="AD12" s="10">
        <v>160000</v>
      </c>
      <c r="AE12" s="10">
        <v>160000</v>
      </c>
      <c r="AF12" s="10">
        <v>160000</v>
      </c>
      <c r="AG12" s="10">
        <v>160000</v>
      </c>
      <c r="AH12" s="10">
        <v>160000</v>
      </c>
      <c r="AI12" s="10"/>
      <c r="AJ12" s="10"/>
      <c r="AK12" s="11"/>
      <c r="AL12" s="10"/>
      <c r="AM12" s="10"/>
      <c r="AN12" s="10"/>
      <c r="AO12" s="10"/>
    </row>
    <row r="13" spans="1:41" ht="15.75" customHeight="1" x14ac:dyDescent="0.6">
      <c r="A13" s="10" t="s">
        <v>30</v>
      </c>
      <c r="B13" s="10" t="s">
        <v>31</v>
      </c>
      <c r="C13" s="10" t="s">
        <v>32</v>
      </c>
      <c r="D13" s="10" t="s">
        <v>44</v>
      </c>
      <c r="E13" s="10"/>
      <c r="F13" s="10">
        <v>160000</v>
      </c>
      <c r="G13" s="10"/>
      <c r="H13" s="10"/>
      <c r="I13" s="10">
        <v>160000</v>
      </c>
      <c r="J13" s="10">
        <v>160000</v>
      </c>
      <c r="K13" s="10">
        <v>160000</v>
      </c>
      <c r="L13" s="10">
        <v>160000</v>
      </c>
      <c r="M13" s="10">
        <v>160000</v>
      </c>
      <c r="N13" s="10"/>
      <c r="O13" s="10"/>
      <c r="P13" s="10">
        <v>160000</v>
      </c>
      <c r="Q13" s="10">
        <v>160000</v>
      </c>
      <c r="R13" s="10">
        <v>160000</v>
      </c>
      <c r="S13" s="10">
        <v>160000</v>
      </c>
      <c r="T13" s="10"/>
      <c r="U13" s="10"/>
      <c r="V13" s="10"/>
      <c r="W13" s="10">
        <v>160000</v>
      </c>
      <c r="X13" s="10">
        <v>160000</v>
      </c>
      <c r="Y13" s="10">
        <v>160000</v>
      </c>
      <c r="Z13" s="10">
        <v>160000</v>
      </c>
      <c r="AA13" s="10">
        <v>160000</v>
      </c>
      <c r="AB13" s="10"/>
      <c r="AC13" s="10"/>
      <c r="AD13" s="10">
        <v>160000</v>
      </c>
      <c r="AE13" s="10">
        <v>160000</v>
      </c>
      <c r="AF13" s="10">
        <v>160000</v>
      </c>
      <c r="AG13" s="10">
        <v>160000</v>
      </c>
      <c r="AH13" s="10">
        <v>160000</v>
      </c>
      <c r="AI13" s="10"/>
      <c r="AJ13" s="10"/>
      <c r="AK13" s="11"/>
      <c r="AL13" s="10"/>
      <c r="AM13" s="10"/>
      <c r="AN13" s="10"/>
      <c r="AO13" s="10"/>
    </row>
    <row r="14" spans="1:41" ht="15.75" customHeight="1" x14ac:dyDescent="0.6">
      <c r="A14" s="10" t="s">
        <v>30</v>
      </c>
      <c r="B14" s="10" t="s">
        <v>31</v>
      </c>
      <c r="C14" s="10" t="s">
        <v>32</v>
      </c>
      <c r="D14" s="10" t="s">
        <v>45</v>
      </c>
      <c r="E14" s="10"/>
      <c r="F14" s="10">
        <v>150000</v>
      </c>
      <c r="G14" s="10"/>
      <c r="H14" s="10"/>
      <c r="I14" s="10">
        <v>150000</v>
      </c>
      <c r="J14" s="10">
        <v>150000</v>
      </c>
      <c r="K14" s="10">
        <v>150000</v>
      </c>
      <c r="L14" s="10">
        <v>150000</v>
      </c>
      <c r="M14" s="10">
        <v>150000</v>
      </c>
      <c r="N14" s="10"/>
      <c r="O14" s="10"/>
      <c r="P14" s="10">
        <v>150000</v>
      </c>
      <c r="Q14" s="10">
        <v>150000</v>
      </c>
      <c r="R14" s="10">
        <v>150000</v>
      </c>
      <c r="S14" s="10">
        <v>150000</v>
      </c>
      <c r="T14" s="10"/>
      <c r="U14" s="10"/>
      <c r="V14" s="10"/>
      <c r="W14" s="10">
        <v>150000</v>
      </c>
      <c r="X14" s="10">
        <v>150000</v>
      </c>
      <c r="Y14" s="10">
        <v>150000</v>
      </c>
      <c r="Z14" s="10">
        <v>150000</v>
      </c>
      <c r="AA14" s="10">
        <v>150000</v>
      </c>
      <c r="AB14" s="10"/>
      <c r="AC14" s="10"/>
      <c r="AD14" s="10">
        <v>150000</v>
      </c>
      <c r="AE14" s="10">
        <v>150000</v>
      </c>
      <c r="AF14" s="10">
        <v>150000</v>
      </c>
      <c r="AG14" s="10">
        <v>150000</v>
      </c>
      <c r="AH14" s="10">
        <v>150000</v>
      </c>
      <c r="AI14" s="10"/>
      <c r="AJ14" s="10"/>
      <c r="AK14" s="11"/>
      <c r="AL14" s="10"/>
      <c r="AM14" s="10"/>
      <c r="AN14" s="10"/>
      <c r="AO14" s="10"/>
    </row>
    <row r="15" spans="1:41" ht="15.75" customHeight="1" x14ac:dyDescent="0.6">
      <c r="A15" s="10" t="s">
        <v>30</v>
      </c>
      <c r="B15" s="10" t="s">
        <v>31</v>
      </c>
      <c r="C15" s="10" t="s">
        <v>32</v>
      </c>
      <c r="D15" s="10" t="s">
        <v>46</v>
      </c>
      <c r="E15" s="10"/>
      <c r="F15" s="10">
        <v>150000</v>
      </c>
      <c r="G15" s="10"/>
      <c r="H15" s="10"/>
      <c r="I15" s="10">
        <v>150000</v>
      </c>
      <c r="J15" s="10">
        <v>150000</v>
      </c>
      <c r="K15" s="10">
        <v>150000</v>
      </c>
      <c r="L15" s="10">
        <v>150000</v>
      </c>
      <c r="M15" s="10">
        <v>150000</v>
      </c>
      <c r="N15" s="10"/>
      <c r="O15" s="10"/>
      <c r="P15" s="10">
        <v>150000</v>
      </c>
      <c r="Q15" s="10">
        <v>150000</v>
      </c>
      <c r="R15" s="10">
        <v>150000</v>
      </c>
      <c r="S15" s="10">
        <v>150000</v>
      </c>
      <c r="T15" s="10"/>
      <c r="U15" s="10"/>
      <c r="V15" s="10"/>
      <c r="W15" s="10">
        <v>150000</v>
      </c>
      <c r="X15" s="10">
        <v>150000</v>
      </c>
      <c r="Y15" s="10">
        <v>150000</v>
      </c>
      <c r="Z15" s="10">
        <v>150000</v>
      </c>
      <c r="AA15" s="10">
        <v>150000</v>
      </c>
      <c r="AB15" s="10"/>
      <c r="AC15" s="10"/>
      <c r="AD15" s="10">
        <v>150000</v>
      </c>
      <c r="AE15" s="10">
        <v>150000</v>
      </c>
      <c r="AF15" s="10">
        <v>150000</v>
      </c>
      <c r="AG15" s="10">
        <v>150000</v>
      </c>
      <c r="AH15" s="10">
        <v>150000</v>
      </c>
      <c r="AI15" s="10"/>
      <c r="AJ15" s="10"/>
      <c r="AK15" s="11"/>
      <c r="AL15" s="10"/>
      <c r="AM15" s="10"/>
      <c r="AN15" s="10"/>
      <c r="AO15" s="10"/>
    </row>
    <row r="16" spans="1:41" ht="15.75" customHeight="1" x14ac:dyDescent="0.6">
      <c r="A16" s="10" t="s">
        <v>30</v>
      </c>
      <c r="B16" s="10" t="s">
        <v>31</v>
      </c>
      <c r="C16" s="10" t="s">
        <v>32</v>
      </c>
      <c r="D16" s="10" t="s">
        <v>47</v>
      </c>
      <c r="E16" s="10"/>
      <c r="F16" s="10">
        <v>160000</v>
      </c>
      <c r="G16" s="10"/>
      <c r="H16" s="10"/>
      <c r="I16" s="10">
        <v>160000</v>
      </c>
      <c r="J16" s="10">
        <v>160000</v>
      </c>
      <c r="K16" s="10">
        <v>160000</v>
      </c>
      <c r="L16" s="10">
        <v>160000</v>
      </c>
      <c r="M16" s="10">
        <v>160000</v>
      </c>
      <c r="N16" s="10"/>
      <c r="O16" s="10"/>
      <c r="P16" s="10">
        <v>160000</v>
      </c>
      <c r="Q16" s="10">
        <v>160000</v>
      </c>
      <c r="R16" s="10">
        <v>160000</v>
      </c>
      <c r="S16" s="10">
        <v>160000</v>
      </c>
      <c r="T16" s="10"/>
      <c r="U16" s="10"/>
      <c r="V16" s="10"/>
      <c r="W16" s="10">
        <v>160000</v>
      </c>
      <c r="X16" s="10">
        <v>160000</v>
      </c>
      <c r="Y16" s="10">
        <v>160000</v>
      </c>
      <c r="Z16" s="10">
        <v>160000</v>
      </c>
      <c r="AA16" s="10">
        <v>160000</v>
      </c>
      <c r="AB16" s="10"/>
      <c r="AC16" s="10"/>
      <c r="AD16" s="10">
        <v>160000</v>
      </c>
      <c r="AE16" s="10">
        <v>160000</v>
      </c>
      <c r="AF16" s="10">
        <v>160000</v>
      </c>
      <c r="AG16" s="10">
        <v>160000</v>
      </c>
      <c r="AH16" s="10">
        <v>160000</v>
      </c>
      <c r="AI16" s="10"/>
      <c r="AJ16" s="10"/>
      <c r="AK16" s="11"/>
      <c r="AL16" s="10"/>
      <c r="AM16" s="10"/>
      <c r="AN16" s="10"/>
      <c r="AO16" s="10"/>
    </row>
    <row r="17" spans="1:41" ht="13" x14ac:dyDescent="0.6">
      <c r="A17" s="12" t="s">
        <v>30</v>
      </c>
      <c r="B17" s="12" t="s">
        <v>48</v>
      </c>
      <c r="C17" s="12" t="s">
        <v>32</v>
      </c>
      <c r="D17" s="12" t="s">
        <v>33</v>
      </c>
      <c r="E17" s="12"/>
      <c r="F17" s="12">
        <v>47667</v>
      </c>
      <c r="G17" s="12"/>
      <c r="H17" s="12"/>
      <c r="I17" s="12">
        <v>48667</v>
      </c>
      <c r="J17" s="12">
        <v>46467</v>
      </c>
      <c r="K17" s="12">
        <v>46167</v>
      </c>
      <c r="L17" s="12">
        <v>45900</v>
      </c>
      <c r="M17" s="12">
        <v>45567</v>
      </c>
      <c r="N17" s="12"/>
      <c r="O17" s="12"/>
      <c r="P17" s="12">
        <v>45667</v>
      </c>
      <c r="Q17" s="12">
        <v>45733</v>
      </c>
      <c r="R17" s="12">
        <v>45333</v>
      </c>
      <c r="S17" s="12">
        <v>45467</v>
      </c>
      <c r="T17" s="12"/>
      <c r="U17" s="12"/>
      <c r="V17" s="12"/>
      <c r="W17" s="12">
        <v>45867</v>
      </c>
      <c r="X17" s="12">
        <v>46267</v>
      </c>
      <c r="Y17" s="12">
        <v>46067</v>
      </c>
      <c r="Z17" s="12">
        <v>46000</v>
      </c>
      <c r="AA17" s="12">
        <v>47067</v>
      </c>
      <c r="AB17" s="12"/>
      <c r="AC17" s="12"/>
      <c r="AD17" s="12">
        <v>46467</v>
      </c>
      <c r="AE17" s="12">
        <v>46467</v>
      </c>
      <c r="AF17" s="12">
        <v>46667</v>
      </c>
      <c r="AG17" s="12">
        <v>46467</v>
      </c>
      <c r="AH17" s="12">
        <v>46400</v>
      </c>
      <c r="AI17" s="12"/>
      <c r="AJ17" s="12"/>
      <c r="AK17" s="11">
        <f>AVERAGE(E17:AI17)</f>
        <v>46318.55</v>
      </c>
      <c r="AL17" s="12"/>
      <c r="AM17" s="12"/>
      <c r="AN17" s="12"/>
      <c r="AO17" s="12"/>
    </row>
    <row r="18" spans="1:41" ht="15.75" customHeight="1" x14ac:dyDescent="0.6">
      <c r="A18" s="12" t="s">
        <v>30</v>
      </c>
      <c r="B18" s="12" t="s">
        <v>48</v>
      </c>
      <c r="C18" s="12" t="s">
        <v>32</v>
      </c>
      <c r="D18" s="12" t="s">
        <v>34</v>
      </c>
      <c r="E18" s="12"/>
      <c r="F18" s="12">
        <v>42000</v>
      </c>
      <c r="G18" s="12"/>
      <c r="H18" s="12"/>
      <c r="I18" s="12">
        <v>43000</v>
      </c>
      <c r="J18" s="12">
        <v>43000</v>
      </c>
      <c r="K18" s="12">
        <v>43000</v>
      </c>
      <c r="L18" s="12">
        <v>43000</v>
      </c>
      <c r="M18" s="12">
        <v>43000</v>
      </c>
      <c r="N18" s="12"/>
      <c r="O18" s="12"/>
      <c r="P18" s="12">
        <v>43000</v>
      </c>
      <c r="Q18" s="12">
        <v>43000</v>
      </c>
      <c r="R18" s="12">
        <v>43000</v>
      </c>
      <c r="S18" s="12">
        <v>43000</v>
      </c>
      <c r="T18" s="12"/>
      <c r="U18" s="12"/>
      <c r="V18" s="12"/>
      <c r="W18" s="12">
        <v>43000</v>
      </c>
      <c r="X18" s="12">
        <v>45000</v>
      </c>
      <c r="Y18" s="12">
        <v>45000</v>
      </c>
      <c r="Z18" s="12">
        <v>45000</v>
      </c>
      <c r="AA18" s="12">
        <v>45000</v>
      </c>
      <c r="AB18" s="12"/>
      <c r="AC18" s="12"/>
      <c r="AD18" s="12">
        <v>46667</v>
      </c>
      <c r="AE18" s="12">
        <v>47000</v>
      </c>
      <c r="AF18" s="12">
        <v>47000</v>
      </c>
      <c r="AG18" s="12">
        <v>47000</v>
      </c>
      <c r="AH18" s="12">
        <v>47000</v>
      </c>
      <c r="AI18" s="12"/>
      <c r="AJ18" s="12"/>
      <c r="AK18" s="13"/>
      <c r="AL18" s="12"/>
      <c r="AM18" s="12"/>
      <c r="AN18" s="12"/>
      <c r="AO18" s="12"/>
    </row>
    <row r="19" spans="1:41" ht="15.75" customHeight="1" x14ac:dyDescent="0.6">
      <c r="A19" s="12" t="s">
        <v>30</v>
      </c>
      <c r="B19" s="12" t="s">
        <v>48</v>
      </c>
      <c r="C19" s="12" t="s">
        <v>32</v>
      </c>
      <c r="D19" s="12" t="s">
        <v>35</v>
      </c>
      <c r="E19" s="12"/>
      <c r="F19" s="12">
        <v>38000</v>
      </c>
      <c r="G19" s="12"/>
      <c r="H19" s="12"/>
      <c r="I19" s="12">
        <v>38000</v>
      </c>
      <c r="J19" s="12">
        <v>38000</v>
      </c>
      <c r="K19" s="12">
        <v>38000</v>
      </c>
      <c r="L19" s="12">
        <v>38000</v>
      </c>
      <c r="M19" s="12">
        <v>38000</v>
      </c>
      <c r="N19" s="12"/>
      <c r="O19" s="12"/>
      <c r="P19" s="12">
        <v>38000</v>
      </c>
      <c r="Q19" s="12">
        <v>38000</v>
      </c>
      <c r="R19" s="12">
        <v>38000</v>
      </c>
      <c r="S19" s="12">
        <v>38000</v>
      </c>
      <c r="T19" s="12"/>
      <c r="U19" s="12"/>
      <c r="V19" s="12"/>
      <c r="W19" s="12">
        <v>38000</v>
      </c>
      <c r="X19" s="12">
        <v>38000</v>
      </c>
      <c r="Y19" s="12">
        <v>40000</v>
      </c>
      <c r="Z19" s="12">
        <v>40000</v>
      </c>
      <c r="AA19" s="12">
        <v>39000</v>
      </c>
      <c r="AB19" s="12"/>
      <c r="AC19" s="12"/>
      <c r="AD19" s="12">
        <v>39000</v>
      </c>
      <c r="AE19" s="12">
        <v>39000</v>
      </c>
      <c r="AF19" s="12">
        <v>39000</v>
      </c>
      <c r="AG19" s="12">
        <v>42000</v>
      </c>
      <c r="AH19" s="12">
        <v>42000</v>
      </c>
      <c r="AI19" s="12"/>
      <c r="AJ19" s="12"/>
      <c r="AK19" s="13"/>
      <c r="AL19" s="12"/>
      <c r="AM19" s="12"/>
      <c r="AN19" s="12"/>
      <c r="AO19" s="12"/>
    </row>
    <row r="20" spans="1:41" ht="15.75" customHeight="1" x14ac:dyDescent="0.6">
      <c r="A20" s="12" t="s">
        <v>30</v>
      </c>
      <c r="B20" s="12" t="s">
        <v>48</v>
      </c>
      <c r="C20" s="12" t="s">
        <v>32</v>
      </c>
      <c r="D20" s="12" t="s">
        <v>36</v>
      </c>
      <c r="E20" s="12"/>
      <c r="F20" s="12">
        <v>42000</v>
      </c>
      <c r="G20" s="12"/>
      <c r="H20" s="12"/>
      <c r="I20" s="12">
        <v>43000</v>
      </c>
      <c r="J20" s="12">
        <v>43000</v>
      </c>
      <c r="K20" s="12">
        <v>43000</v>
      </c>
      <c r="L20" s="12">
        <v>45000</v>
      </c>
      <c r="M20" s="12">
        <v>45000</v>
      </c>
      <c r="N20" s="12"/>
      <c r="O20" s="12"/>
      <c r="P20" s="12">
        <v>43000</v>
      </c>
      <c r="Q20" s="12">
        <v>43000</v>
      </c>
      <c r="R20" s="12">
        <v>45000</v>
      </c>
      <c r="S20" s="12">
        <v>45000</v>
      </c>
      <c r="T20" s="12"/>
      <c r="U20" s="12"/>
      <c r="V20" s="12"/>
      <c r="W20" s="12">
        <v>44000</v>
      </c>
      <c r="X20" s="12">
        <v>44000</v>
      </c>
      <c r="Y20" s="12">
        <v>44000</v>
      </c>
      <c r="Z20" s="12">
        <v>44000</v>
      </c>
      <c r="AA20" s="12">
        <v>44000</v>
      </c>
      <c r="AB20" s="12"/>
      <c r="AC20" s="12"/>
      <c r="AD20" s="12">
        <v>45000</v>
      </c>
      <c r="AE20" s="12">
        <v>45000</v>
      </c>
      <c r="AF20" s="12">
        <v>45000</v>
      </c>
      <c r="AG20" s="12">
        <v>45000</v>
      </c>
      <c r="AH20" s="12">
        <v>45000</v>
      </c>
      <c r="AI20" s="12"/>
      <c r="AJ20" s="12"/>
      <c r="AK20" s="13"/>
      <c r="AL20" s="12"/>
      <c r="AM20" s="12"/>
      <c r="AN20" s="12"/>
      <c r="AO20" s="12"/>
    </row>
    <row r="21" spans="1:41" ht="15.75" customHeight="1" x14ac:dyDescent="0.6">
      <c r="A21" s="12" t="s">
        <v>30</v>
      </c>
      <c r="B21" s="12" t="s">
        <v>48</v>
      </c>
      <c r="C21" s="12" t="s">
        <v>32</v>
      </c>
      <c r="D21" s="12" t="s">
        <v>37</v>
      </c>
      <c r="E21" s="12"/>
      <c r="F21" s="12">
        <v>45000</v>
      </c>
      <c r="G21" s="12"/>
      <c r="H21" s="12"/>
      <c r="I21" s="12">
        <v>48000</v>
      </c>
      <c r="J21" s="12">
        <v>48000</v>
      </c>
      <c r="K21" s="12">
        <v>47500</v>
      </c>
      <c r="L21" s="12">
        <v>47500</v>
      </c>
      <c r="M21" s="12">
        <v>47500</v>
      </c>
      <c r="N21" s="12"/>
      <c r="O21" s="12"/>
      <c r="P21" s="12">
        <v>48000</v>
      </c>
      <c r="Q21" s="12">
        <v>48000</v>
      </c>
      <c r="R21" s="12">
        <v>48000</v>
      </c>
      <c r="S21" s="12">
        <v>48000</v>
      </c>
      <c r="T21" s="12"/>
      <c r="U21" s="12"/>
      <c r="V21" s="12"/>
      <c r="W21" s="12">
        <v>45000</v>
      </c>
      <c r="X21" s="12">
        <v>45000</v>
      </c>
      <c r="Y21" s="12">
        <v>45000</v>
      </c>
      <c r="Z21" s="12">
        <v>45000</v>
      </c>
      <c r="AA21" s="12">
        <v>48000</v>
      </c>
      <c r="AB21" s="12"/>
      <c r="AC21" s="12"/>
      <c r="AD21" s="12">
        <v>44000</v>
      </c>
      <c r="AE21" s="12">
        <v>44000</v>
      </c>
      <c r="AF21" s="12">
        <v>45000</v>
      </c>
      <c r="AG21" s="12">
        <v>45000</v>
      </c>
      <c r="AH21" s="12">
        <v>45000</v>
      </c>
      <c r="AI21" s="12"/>
      <c r="AJ21" s="12"/>
      <c r="AK21" s="13"/>
      <c r="AL21" s="12"/>
      <c r="AM21" s="12"/>
      <c r="AN21" s="12"/>
      <c r="AO21" s="12"/>
    </row>
    <row r="22" spans="1:41" ht="15.75" customHeight="1" x14ac:dyDescent="0.6">
      <c r="A22" s="12" t="s">
        <v>30</v>
      </c>
      <c r="B22" s="12" t="s">
        <v>48</v>
      </c>
      <c r="C22" s="12" t="s">
        <v>32</v>
      </c>
      <c r="D22" s="12" t="s">
        <v>38</v>
      </c>
      <c r="E22" s="12"/>
      <c r="F22" s="12">
        <v>45000</v>
      </c>
      <c r="G22" s="12"/>
      <c r="H22" s="12"/>
      <c r="I22" s="12">
        <v>46000</v>
      </c>
      <c r="J22" s="12">
        <v>46000</v>
      </c>
      <c r="K22" s="12">
        <v>46000</v>
      </c>
      <c r="L22" s="12">
        <v>45000</v>
      </c>
      <c r="M22" s="12">
        <v>45000</v>
      </c>
      <c r="N22" s="12"/>
      <c r="O22" s="12"/>
      <c r="P22" s="12">
        <v>45000</v>
      </c>
      <c r="Q22" s="12">
        <v>45000</v>
      </c>
      <c r="R22" s="12">
        <v>45000</v>
      </c>
      <c r="S22" s="12">
        <v>45000</v>
      </c>
      <c r="T22" s="12"/>
      <c r="U22" s="12"/>
      <c r="V22" s="12"/>
      <c r="W22" s="12">
        <v>48000</v>
      </c>
      <c r="X22" s="12">
        <v>48000</v>
      </c>
      <c r="Y22" s="12">
        <v>48000</v>
      </c>
      <c r="Z22" s="12">
        <v>48000</v>
      </c>
      <c r="AA22" s="12">
        <v>48000</v>
      </c>
      <c r="AB22" s="12"/>
      <c r="AC22" s="12"/>
      <c r="AD22" s="12">
        <v>48000</v>
      </c>
      <c r="AE22" s="12">
        <v>48000</v>
      </c>
      <c r="AF22" s="12">
        <v>48000</v>
      </c>
      <c r="AG22" s="12">
        <v>47000</v>
      </c>
      <c r="AH22" s="12">
        <v>47000</v>
      </c>
      <c r="AI22" s="12"/>
      <c r="AJ22" s="12"/>
      <c r="AK22" s="13"/>
      <c r="AL22" s="12"/>
      <c r="AM22" s="12"/>
      <c r="AN22" s="12"/>
      <c r="AO22" s="12"/>
    </row>
    <row r="23" spans="1:41" ht="15.75" customHeight="1" x14ac:dyDescent="0.6">
      <c r="A23" s="12" t="s">
        <v>30</v>
      </c>
      <c r="B23" s="12" t="s">
        <v>48</v>
      </c>
      <c r="C23" s="12" t="s">
        <v>32</v>
      </c>
      <c r="D23" s="12" t="s">
        <v>39</v>
      </c>
      <c r="E23" s="12"/>
      <c r="F23" s="12">
        <v>45000</v>
      </c>
      <c r="G23" s="12"/>
      <c r="H23" s="12"/>
      <c r="I23" s="12">
        <v>45000</v>
      </c>
      <c r="J23" s="12">
        <v>45000</v>
      </c>
      <c r="K23" s="12">
        <v>45000</v>
      </c>
      <c r="L23" s="12">
        <v>45000</v>
      </c>
      <c r="M23" s="12">
        <v>45000</v>
      </c>
      <c r="N23" s="12"/>
      <c r="O23" s="12"/>
      <c r="P23" s="12">
        <v>50000</v>
      </c>
      <c r="Q23" s="12">
        <v>50000</v>
      </c>
      <c r="R23" s="12">
        <v>50000</v>
      </c>
      <c r="S23" s="12">
        <v>50000</v>
      </c>
      <c r="T23" s="12"/>
      <c r="U23" s="12"/>
      <c r="V23" s="12"/>
      <c r="W23" s="12">
        <v>50000</v>
      </c>
      <c r="X23" s="12">
        <v>50000</v>
      </c>
      <c r="Y23" s="12">
        <v>50000</v>
      </c>
      <c r="Z23" s="12">
        <v>50000</v>
      </c>
      <c r="AA23" s="12">
        <v>50000</v>
      </c>
      <c r="AB23" s="12"/>
      <c r="AC23" s="12"/>
      <c r="AD23" s="12">
        <v>50000</v>
      </c>
      <c r="AE23" s="12">
        <v>50000</v>
      </c>
      <c r="AF23" s="12">
        <v>50000</v>
      </c>
      <c r="AG23" s="12">
        <v>45000</v>
      </c>
      <c r="AH23" s="12">
        <v>45000</v>
      </c>
      <c r="AI23" s="12"/>
      <c r="AJ23" s="12"/>
      <c r="AK23" s="13"/>
      <c r="AL23" s="12"/>
      <c r="AM23" s="12"/>
      <c r="AN23" s="12"/>
      <c r="AO23" s="12"/>
    </row>
    <row r="24" spans="1:41" ht="15.75" customHeight="1" x14ac:dyDescent="0.6">
      <c r="A24" s="12" t="s">
        <v>30</v>
      </c>
      <c r="B24" s="12" t="s">
        <v>48</v>
      </c>
      <c r="C24" s="12" t="s">
        <v>32</v>
      </c>
      <c r="D24" s="12" t="s">
        <v>40</v>
      </c>
      <c r="E24" s="12"/>
      <c r="F24" s="12">
        <v>47000</v>
      </c>
      <c r="G24" s="12"/>
      <c r="H24" s="12"/>
      <c r="I24" s="12">
        <v>47000</v>
      </c>
      <c r="J24" s="12">
        <v>47000</v>
      </c>
      <c r="K24" s="12">
        <v>47000</v>
      </c>
      <c r="L24" s="12">
        <v>47000</v>
      </c>
      <c r="M24" s="12">
        <v>47000</v>
      </c>
      <c r="N24" s="12"/>
      <c r="O24" s="12"/>
      <c r="P24" s="12">
        <v>45000</v>
      </c>
      <c r="Q24" s="12">
        <v>45000</v>
      </c>
      <c r="R24" s="12">
        <v>45000</v>
      </c>
      <c r="S24" s="12">
        <v>45000</v>
      </c>
      <c r="T24" s="12"/>
      <c r="U24" s="12"/>
      <c r="V24" s="12"/>
      <c r="W24" s="12">
        <v>45000</v>
      </c>
      <c r="X24" s="12">
        <v>50000</v>
      </c>
      <c r="Y24" s="12">
        <v>50000</v>
      </c>
      <c r="Z24" s="12">
        <v>50000</v>
      </c>
      <c r="AA24" s="12">
        <v>50000</v>
      </c>
      <c r="AB24" s="12"/>
      <c r="AC24" s="12"/>
      <c r="AD24" s="12">
        <v>50000</v>
      </c>
      <c r="AE24" s="12">
        <v>48333</v>
      </c>
      <c r="AF24" s="12">
        <v>48333</v>
      </c>
      <c r="AG24" s="12">
        <v>48333</v>
      </c>
      <c r="AH24" s="12">
        <v>48333</v>
      </c>
      <c r="AI24" s="12"/>
      <c r="AJ24" s="12"/>
      <c r="AK24" s="13"/>
      <c r="AL24" s="12"/>
      <c r="AM24" s="12"/>
      <c r="AN24" s="12"/>
      <c r="AO24" s="12"/>
    </row>
    <row r="25" spans="1:41" ht="15.75" customHeight="1" x14ac:dyDescent="0.6">
      <c r="A25" s="12" t="s">
        <v>30</v>
      </c>
      <c r="B25" s="12" t="s">
        <v>48</v>
      </c>
      <c r="C25" s="12" t="s">
        <v>32</v>
      </c>
      <c r="D25" s="12" t="s">
        <v>41</v>
      </c>
      <c r="E25" s="12"/>
      <c r="F25" s="12">
        <v>45000</v>
      </c>
      <c r="G25" s="12"/>
      <c r="H25" s="12"/>
      <c r="I25" s="12">
        <v>48000</v>
      </c>
      <c r="J25" s="12">
        <v>48000</v>
      </c>
      <c r="K25" s="12">
        <v>48000</v>
      </c>
      <c r="L25" s="12">
        <v>48000</v>
      </c>
      <c r="M25" s="12">
        <v>48000</v>
      </c>
      <c r="N25" s="12"/>
      <c r="O25" s="12"/>
      <c r="P25" s="12">
        <v>45000</v>
      </c>
      <c r="Q25" s="12">
        <v>45000</v>
      </c>
      <c r="R25" s="12">
        <v>45000</v>
      </c>
      <c r="S25" s="12">
        <v>45000</v>
      </c>
      <c r="T25" s="12"/>
      <c r="U25" s="12"/>
      <c r="V25" s="12"/>
      <c r="W25" s="12">
        <v>48000</v>
      </c>
      <c r="X25" s="12">
        <v>48000</v>
      </c>
      <c r="Y25" s="12">
        <v>48000</v>
      </c>
      <c r="Z25" s="12">
        <v>48000</v>
      </c>
      <c r="AA25" s="12">
        <v>48000</v>
      </c>
      <c r="AB25" s="12"/>
      <c r="AC25" s="12"/>
      <c r="AD25" s="12">
        <v>48000</v>
      </c>
      <c r="AE25" s="12">
        <v>48000</v>
      </c>
      <c r="AF25" s="12">
        <v>48000</v>
      </c>
      <c r="AG25" s="12">
        <v>48000</v>
      </c>
      <c r="AH25" s="12">
        <v>48000</v>
      </c>
      <c r="AI25" s="12"/>
      <c r="AJ25" s="12"/>
      <c r="AK25" s="13"/>
      <c r="AL25" s="12"/>
      <c r="AM25" s="12"/>
      <c r="AN25" s="12"/>
      <c r="AO25" s="12"/>
    </row>
    <row r="26" spans="1:41" ht="15.75" customHeight="1" x14ac:dyDescent="0.6">
      <c r="A26" s="12" t="s">
        <v>30</v>
      </c>
      <c r="B26" s="12" t="s">
        <v>48</v>
      </c>
      <c r="C26" s="12" t="s">
        <v>32</v>
      </c>
      <c r="D26" s="12" t="s">
        <v>42</v>
      </c>
      <c r="E26" s="12"/>
      <c r="F26" s="12">
        <v>46000</v>
      </c>
      <c r="G26" s="12"/>
      <c r="H26" s="12"/>
      <c r="I26" s="12">
        <v>46000</v>
      </c>
      <c r="J26" s="12">
        <v>46000</v>
      </c>
      <c r="K26" s="12">
        <v>46000</v>
      </c>
      <c r="L26" s="12">
        <v>46000</v>
      </c>
      <c r="M26" s="12">
        <v>46000</v>
      </c>
      <c r="N26" s="12"/>
      <c r="O26" s="12"/>
      <c r="P26" s="12">
        <v>46000</v>
      </c>
      <c r="Q26" s="12">
        <v>46000</v>
      </c>
      <c r="R26" s="12">
        <v>46000</v>
      </c>
      <c r="S26" s="12">
        <v>46000</v>
      </c>
      <c r="T26" s="12"/>
      <c r="U26" s="12"/>
      <c r="V26" s="12"/>
      <c r="W26" s="12">
        <v>46000</v>
      </c>
      <c r="X26" s="12">
        <v>46000</v>
      </c>
      <c r="Y26" s="12">
        <v>46000</v>
      </c>
      <c r="Z26" s="12">
        <v>46000</v>
      </c>
      <c r="AA26" s="12">
        <v>46000</v>
      </c>
      <c r="AB26" s="12"/>
      <c r="AC26" s="12"/>
      <c r="AD26" s="12">
        <v>46000</v>
      </c>
      <c r="AE26" s="12">
        <v>46000</v>
      </c>
      <c r="AF26" s="12">
        <v>46000</v>
      </c>
      <c r="AG26" s="12">
        <v>46000</v>
      </c>
      <c r="AH26" s="12">
        <v>46000</v>
      </c>
      <c r="AI26" s="12"/>
      <c r="AJ26" s="12"/>
      <c r="AK26" s="13"/>
      <c r="AL26" s="12"/>
      <c r="AM26" s="12"/>
      <c r="AN26" s="12"/>
      <c r="AO26" s="12"/>
    </row>
    <row r="27" spans="1:41" ht="15.75" customHeight="1" x14ac:dyDescent="0.6">
      <c r="A27" s="12" t="s">
        <v>30</v>
      </c>
      <c r="B27" s="12" t="s">
        <v>48</v>
      </c>
      <c r="C27" s="12" t="s">
        <v>32</v>
      </c>
      <c r="D27" s="12" t="s">
        <v>43</v>
      </c>
      <c r="E27" s="12"/>
      <c r="F27" s="12">
        <v>50000</v>
      </c>
      <c r="G27" s="12"/>
      <c r="H27" s="12"/>
      <c r="I27" s="12">
        <v>45000</v>
      </c>
      <c r="J27" s="12">
        <v>45000</v>
      </c>
      <c r="K27" s="12">
        <v>45000</v>
      </c>
      <c r="L27" s="12">
        <v>45000</v>
      </c>
      <c r="M27" s="12">
        <v>45000</v>
      </c>
      <c r="N27" s="12"/>
      <c r="O27" s="12"/>
      <c r="P27" s="12">
        <v>40000</v>
      </c>
      <c r="Q27" s="12">
        <v>40000</v>
      </c>
      <c r="R27" s="12">
        <v>40000</v>
      </c>
      <c r="S27" s="12">
        <v>40000</v>
      </c>
      <c r="T27" s="12"/>
      <c r="U27" s="12"/>
      <c r="V27" s="12"/>
      <c r="W27" s="12">
        <v>40000</v>
      </c>
      <c r="X27" s="12">
        <v>45000</v>
      </c>
      <c r="Y27" s="12">
        <v>45000</v>
      </c>
      <c r="Z27" s="12">
        <v>45000</v>
      </c>
      <c r="AA27" s="12">
        <v>45000</v>
      </c>
      <c r="AB27" s="12"/>
      <c r="AC27" s="12"/>
      <c r="AD27" s="12">
        <v>50000</v>
      </c>
      <c r="AE27" s="12">
        <v>48000</v>
      </c>
      <c r="AF27" s="12">
        <v>48000</v>
      </c>
      <c r="AG27" s="12">
        <v>48000</v>
      </c>
      <c r="AH27" s="12">
        <v>45000</v>
      </c>
      <c r="AI27" s="12"/>
      <c r="AJ27" s="12"/>
      <c r="AK27" s="13"/>
      <c r="AL27" s="12"/>
      <c r="AM27" s="12"/>
      <c r="AN27" s="12"/>
      <c r="AO27" s="12"/>
    </row>
    <row r="28" spans="1:41" ht="15.75" customHeight="1" x14ac:dyDescent="0.6">
      <c r="A28" s="12" t="s">
        <v>30</v>
      </c>
      <c r="B28" s="12" t="s">
        <v>48</v>
      </c>
      <c r="C28" s="12" t="s">
        <v>32</v>
      </c>
      <c r="D28" s="12" t="s">
        <v>44</v>
      </c>
      <c r="E28" s="12"/>
      <c r="F28" s="12">
        <v>50000</v>
      </c>
      <c r="G28" s="12"/>
      <c r="H28" s="12"/>
      <c r="I28" s="12">
        <v>50000</v>
      </c>
      <c r="J28" s="12">
        <v>50000</v>
      </c>
      <c r="K28" s="12">
        <v>50000</v>
      </c>
      <c r="L28" s="12">
        <v>50000</v>
      </c>
      <c r="M28" s="12">
        <v>50000</v>
      </c>
      <c r="N28" s="12"/>
      <c r="O28" s="12"/>
      <c r="P28" s="12">
        <v>50000</v>
      </c>
      <c r="Q28" s="12">
        <v>50000</v>
      </c>
      <c r="R28" s="12">
        <v>50000</v>
      </c>
      <c r="S28" s="12">
        <v>50000</v>
      </c>
      <c r="T28" s="12"/>
      <c r="U28" s="12"/>
      <c r="V28" s="12"/>
      <c r="W28" s="12">
        <v>50000</v>
      </c>
      <c r="X28" s="12">
        <v>50000</v>
      </c>
      <c r="Y28" s="12">
        <v>50000</v>
      </c>
      <c r="Z28" s="12">
        <v>50000</v>
      </c>
      <c r="AA28" s="12">
        <v>50000</v>
      </c>
      <c r="AB28" s="12"/>
      <c r="AC28" s="12"/>
      <c r="AD28" s="12">
        <v>50000</v>
      </c>
      <c r="AE28" s="12">
        <v>50000</v>
      </c>
      <c r="AF28" s="12">
        <v>50000</v>
      </c>
      <c r="AG28" s="12">
        <v>50000</v>
      </c>
      <c r="AH28" s="12">
        <v>50000</v>
      </c>
      <c r="AI28" s="12"/>
      <c r="AJ28" s="12"/>
      <c r="AK28" s="13"/>
      <c r="AL28" s="12"/>
      <c r="AM28" s="12"/>
      <c r="AN28" s="12"/>
      <c r="AO28" s="12"/>
    </row>
    <row r="29" spans="1:41" ht="15.75" customHeight="1" x14ac:dyDescent="0.6">
      <c r="A29" s="12" t="s">
        <v>30</v>
      </c>
      <c r="B29" s="12" t="s">
        <v>48</v>
      </c>
      <c r="C29" s="12" t="s">
        <v>32</v>
      </c>
      <c r="D29" s="12" t="s">
        <v>45</v>
      </c>
      <c r="E29" s="12"/>
      <c r="F29" s="12">
        <v>39000</v>
      </c>
      <c r="G29" s="12"/>
      <c r="H29" s="12"/>
      <c r="I29" s="12">
        <v>39000</v>
      </c>
      <c r="J29" s="12">
        <v>40000</v>
      </c>
      <c r="K29" s="12">
        <v>40000</v>
      </c>
      <c r="L29" s="12">
        <v>40000</v>
      </c>
      <c r="M29" s="12">
        <v>40000</v>
      </c>
      <c r="N29" s="12"/>
      <c r="O29" s="12"/>
      <c r="P29" s="12">
        <v>38000</v>
      </c>
      <c r="Q29" s="12">
        <v>38000</v>
      </c>
      <c r="R29" s="12">
        <v>39000</v>
      </c>
      <c r="S29" s="12">
        <v>39000</v>
      </c>
      <c r="T29" s="12"/>
      <c r="U29" s="12"/>
      <c r="V29" s="12"/>
      <c r="W29" s="12">
        <v>43000</v>
      </c>
      <c r="X29" s="12">
        <v>43000</v>
      </c>
      <c r="Y29" s="12">
        <v>43000</v>
      </c>
      <c r="Z29" s="12">
        <v>43000</v>
      </c>
      <c r="AA29" s="12">
        <v>43000</v>
      </c>
      <c r="AB29" s="12"/>
      <c r="AC29" s="12"/>
      <c r="AD29" s="12">
        <v>43000</v>
      </c>
      <c r="AE29" s="12">
        <v>43000</v>
      </c>
      <c r="AF29" s="12">
        <v>43000</v>
      </c>
      <c r="AG29" s="12">
        <v>43000</v>
      </c>
      <c r="AH29" s="12">
        <v>43000</v>
      </c>
      <c r="AI29" s="12"/>
      <c r="AJ29" s="12"/>
      <c r="AK29" s="13"/>
      <c r="AL29" s="12"/>
      <c r="AM29" s="12"/>
      <c r="AN29" s="12"/>
      <c r="AO29" s="12"/>
    </row>
    <row r="30" spans="1:41" ht="15.75" customHeight="1" x14ac:dyDescent="0.6">
      <c r="A30" s="12" t="s">
        <v>30</v>
      </c>
      <c r="B30" s="12" t="s">
        <v>48</v>
      </c>
      <c r="C30" s="12" t="s">
        <v>32</v>
      </c>
      <c r="D30" s="12" t="s">
        <v>46</v>
      </c>
      <c r="E30" s="12"/>
      <c r="F30" s="12">
        <v>43333</v>
      </c>
      <c r="G30" s="12"/>
      <c r="H30" s="12"/>
      <c r="I30" s="12">
        <v>44333</v>
      </c>
      <c r="J30" s="12">
        <v>43333</v>
      </c>
      <c r="K30" s="12">
        <v>42333</v>
      </c>
      <c r="L30" s="12">
        <v>42000</v>
      </c>
      <c r="M30" s="12">
        <v>40333</v>
      </c>
      <c r="N30" s="12"/>
      <c r="O30" s="12"/>
      <c r="P30" s="12">
        <v>40333</v>
      </c>
      <c r="Q30" s="12">
        <v>40667</v>
      </c>
      <c r="R30" s="12">
        <v>40667</v>
      </c>
      <c r="S30" s="12">
        <v>41333</v>
      </c>
      <c r="T30" s="12"/>
      <c r="U30" s="12"/>
      <c r="V30" s="12"/>
      <c r="W30" s="12">
        <v>43333</v>
      </c>
      <c r="X30" s="12">
        <v>43333</v>
      </c>
      <c r="Y30" s="12">
        <v>42333</v>
      </c>
      <c r="Z30" s="12">
        <v>42000</v>
      </c>
      <c r="AA30" s="12">
        <v>44333</v>
      </c>
      <c r="AB30" s="12"/>
      <c r="AC30" s="12"/>
      <c r="AD30" s="12">
        <v>45333</v>
      </c>
      <c r="AE30" s="12">
        <v>45333</v>
      </c>
      <c r="AF30" s="12">
        <v>45333</v>
      </c>
      <c r="AG30" s="12">
        <v>45333</v>
      </c>
      <c r="AH30" s="12">
        <v>45000</v>
      </c>
      <c r="AI30" s="12"/>
      <c r="AJ30" s="12"/>
      <c r="AK30" s="13"/>
      <c r="AL30" s="12"/>
      <c r="AM30" s="12"/>
      <c r="AN30" s="12"/>
      <c r="AO30" s="12"/>
    </row>
    <row r="31" spans="1:41" ht="15.75" customHeight="1" x14ac:dyDescent="0.6">
      <c r="A31" s="12" t="s">
        <v>30</v>
      </c>
      <c r="B31" s="12" t="s">
        <v>48</v>
      </c>
      <c r="C31" s="12" t="s">
        <v>32</v>
      </c>
      <c r="D31" s="12" t="s">
        <v>47</v>
      </c>
      <c r="E31" s="12"/>
      <c r="F31" s="12">
        <v>55000</v>
      </c>
      <c r="G31" s="12"/>
      <c r="H31" s="12"/>
      <c r="I31" s="12">
        <v>55000</v>
      </c>
      <c r="J31" s="12">
        <v>45000</v>
      </c>
      <c r="K31" s="12">
        <v>45000</v>
      </c>
      <c r="L31" s="12">
        <v>45000</v>
      </c>
      <c r="M31" s="12">
        <v>45000</v>
      </c>
      <c r="N31" s="12"/>
      <c r="O31" s="12"/>
      <c r="P31" s="12">
        <v>45000</v>
      </c>
      <c r="Q31" s="12">
        <v>45000</v>
      </c>
      <c r="R31" s="12">
        <v>43000</v>
      </c>
      <c r="S31" s="12">
        <v>43000</v>
      </c>
      <c r="T31" s="12"/>
      <c r="U31" s="12"/>
      <c r="V31" s="12"/>
      <c r="W31" s="12">
        <v>43000</v>
      </c>
      <c r="X31" s="12">
        <v>45000</v>
      </c>
      <c r="Y31" s="12">
        <v>45000</v>
      </c>
      <c r="Z31" s="12">
        <v>45000</v>
      </c>
      <c r="AA31" s="12">
        <v>45000</v>
      </c>
      <c r="AB31" s="12"/>
      <c r="AC31" s="12"/>
      <c r="AD31" s="12">
        <v>45000</v>
      </c>
      <c r="AE31" s="12">
        <v>45000</v>
      </c>
      <c r="AF31" s="12">
        <v>45000</v>
      </c>
      <c r="AG31" s="12">
        <v>45000</v>
      </c>
      <c r="AH31" s="12">
        <v>45000</v>
      </c>
      <c r="AI31" s="12"/>
      <c r="AJ31" s="12"/>
      <c r="AK31" s="13"/>
      <c r="AL31" s="12"/>
      <c r="AM31" s="12"/>
      <c r="AN31" s="12"/>
      <c r="AO31" s="12"/>
    </row>
    <row r="32" spans="1:41" ht="15.75" customHeight="1" x14ac:dyDescent="0.6">
      <c r="A32" s="14" t="s">
        <v>30</v>
      </c>
      <c r="B32" s="14" t="s">
        <v>49</v>
      </c>
      <c r="C32" s="14" t="s">
        <v>32</v>
      </c>
      <c r="D32" s="14" t="s">
        <v>33</v>
      </c>
      <c r="E32" s="14"/>
      <c r="F32" s="14">
        <v>37080</v>
      </c>
      <c r="G32" s="14"/>
      <c r="H32" s="14"/>
      <c r="I32" s="14">
        <v>36560</v>
      </c>
      <c r="J32" s="14">
        <v>36560</v>
      </c>
      <c r="K32" s="14">
        <v>36560</v>
      </c>
      <c r="L32" s="14">
        <v>36493</v>
      </c>
      <c r="M32" s="14">
        <v>36493</v>
      </c>
      <c r="N32" s="14"/>
      <c r="O32" s="14"/>
      <c r="P32" s="14">
        <v>36093</v>
      </c>
      <c r="Q32" s="14">
        <v>35960</v>
      </c>
      <c r="R32" s="14">
        <v>35960</v>
      </c>
      <c r="S32" s="14">
        <v>36160</v>
      </c>
      <c r="T32" s="14"/>
      <c r="U32" s="14"/>
      <c r="V32" s="14"/>
      <c r="W32" s="14">
        <v>35733</v>
      </c>
      <c r="X32" s="14">
        <v>35573</v>
      </c>
      <c r="Y32" s="14">
        <v>35573</v>
      </c>
      <c r="Z32" s="14">
        <v>35573</v>
      </c>
      <c r="AA32" s="14">
        <v>35573</v>
      </c>
      <c r="AB32" s="14"/>
      <c r="AC32" s="14"/>
      <c r="AD32" s="14">
        <v>35573</v>
      </c>
      <c r="AE32" s="14">
        <v>35573</v>
      </c>
      <c r="AF32" s="14">
        <v>35573</v>
      </c>
      <c r="AG32" s="14">
        <v>35573</v>
      </c>
      <c r="AH32" s="14">
        <v>35507</v>
      </c>
      <c r="AI32" s="14"/>
      <c r="AJ32" s="14"/>
      <c r="AK32" s="11">
        <f>AVERAGE(E32:AI32)</f>
        <v>35987.15</v>
      </c>
      <c r="AL32" s="14"/>
      <c r="AM32" s="14"/>
      <c r="AN32" s="14"/>
      <c r="AO32" s="14"/>
    </row>
    <row r="33" spans="1:41" ht="15.75" customHeight="1" x14ac:dyDescent="0.6">
      <c r="A33" s="14" t="s">
        <v>30</v>
      </c>
      <c r="B33" s="14" t="s">
        <v>49</v>
      </c>
      <c r="C33" s="14" t="s">
        <v>32</v>
      </c>
      <c r="D33" s="14" t="s">
        <v>34</v>
      </c>
      <c r="E33" s="14"/>
      <c r="F33" s="14">
        <v>33000</v>
      </c>
      <c r="G33" s="14"/>
      <c r="H33" s="14"/>
      <c r="I33" s="14">
        <v>33000</v>
      </c>
      <c r="J33" s="14">
        <v>33000</v>
      </c>
      <c r="K33" s="14">
        <v>33000</v>
      </c>
      <c r="L33" s="14">
        <v>33000</v>
      </c>
      <c r="M33" s="14">
        <v>32500</v>
      </c>
      <c r="N33" s="14"/>
      <c r="O33" s="14"/>
      <c r="P33" s="14">
        <v>32500</v>
      </c>
      <c r="Q33" s="14">
        <v>32500</v>
      </c>
      <c r="R33" s="14">
        <v>32500</v>
      </c>
      <c r="S33" s="14">
        <v>32000</v>
      </c>
      <c r="T33" s="14"/>
      <c r="U33" s="14"/>
      <c r="V33" s="14"/>
      <c r="W33" s="14">
        <v>32000</v>
      </c>
      <c r="X33" s="14">
        <v>32000</v>
      </c>
      <c r="Y33" s="14">
        <v>32000</v>
      </c>
      <c r="Z33" s="14">
        <v>32000</v>
      </c>
      <c r="AA33" s="14">
        <v>31000</v>
      </c>
      <c r="AB33" s="14"/>
      <c r="AC33" s="14"/>
      <c r="AD33" s="14">
        <v>30500</v>
      </c>
      <c r="AE33" s="14">
        <v>31000</v>
      </c>
      <c r="AF33" s="14">
        <v>31000</v>
      </c>
      <c r="AG33" s="14">
        <v>30000</v>
      </c>
      <c r="AH33" s="14">
        <v>30000</v>
      </c>
      <c r="AI33" s="14"/>
      <c r="AJ33" s="14"/>
      <c r="AK33" s="15"/>
      <c r="AL33" s="14"/>
      <c r="AM33" s="14"/>
      <c r="AN33" s="14"/>
      <c r="AO33" s="14"/>
    </row>
    <row r="34" spans="1:41" ht="15.75" customHeight="1" x14ac:dyDescent="0.6">
      <c r="A34" s="14" t="s">
        <v>30</v>
      </c>
      <c r="B34" s="14" t="s">
        <v>49</v>
      </c>
      <c r="C34" s="14" t="s">
        <v>32</v>
      </c>
      <c r="D34" s="14" t="s">
        <v>35</v>
      </c>
      <c r="E34" s="14"/>
      <c r="F34" s="14">
        <v>34000</v>
      </c>
      <c r="G34" s="14"/>
      <c r="H34" s="14"/>
      <c r="I34" s="14">
        <v>34000</v>
      </c>
      <c r="J34" s="14">
        <v>34000</v>
      </c>
      <c r="K34" s="14">
        <v>34000</v>
      </c>
      <c r="L34" s="14">
        <v>34000</v>
      </c>
      <c r="M34" s="14">
        <v>34000</v>
      </c>
      <c r="N34" s="14"/>
      <c r="O34" s="14"/>
      <c r="P34" s="14">
        <v>33000</v>
      </c>
      <c r="Q34" s="14">
        <v>33000</v>
      </c>
      <c r="R34" s="14">
        <v>33000</v>
      </c>
      <c r="S34" s="14">
        <v>33000</v>
      </c>
      <c r="T34" s="14"/>
      <c r="U34" s="14"/>
      <c r="V34" s="14"/>
      <c r="W34" s="14">
        <v>33000</v>
      </c>
      <c r="X34" s="14">
        <v>31000</v>
      </c>
      <c r="Y34" s="14">
        <v>31000</v>
      </c>
      <c r="Z34" s="14">
        <v>31000</v>
      </c>
      <c r="AA34" s="14">
        <v>31000</v>
      </c>
      <c r="AB34" s="14"/>
      <c r="AC34" s="14"/>
      <c r="AD34" s="14">
        <v>31000</v>
      </c>
      <c r="AE34" s="14">
        <v>31000</v>
      </c>
      <c r="AF34" s="14">
        <v>31000</v>
      </c>
      <c r="AG34" s="14">
        <v>31000</v>
      </c>
      <c r="AH34" s="14">
        <v>31000</v>
      </c>
      <c r="AI34" s="14"/>
      <c r="AJ34" s="14"/>
      <c r="AK34" s="15"/>
      <c r="AL34" s="14"/>
      <c r="AM34" s="14"/>
      <c r="AN34" s="14"/>
      <c r="AO34" s="14"/>
    </row>
    <row r="35" spans="1:41" ht="15.75" customHeight="1" x14ac:dyDescent="0.6">
      <c r="A35" s="14" t="s">
        <v>30</v>
      </c>
      <c r="B35" s="14" t="s">
        <v>49</v>
      </c>
      <c r="C35" s="14" t="s">
        <v>32</v>
      </c>
      <c r="D35" s="14" t="s">
        <v>36</v>
      </c>
      <c r="E35" s="14"/>
      <c r="F35" s="14">
        <v>32000</v>
      </c>
      <c r="G35" s="14"/>
      <c r="H35" s="14"/>
      <c r="I35" s="14">
        <v>32000</v>
      </c>
      <c r="J35" s="14">
        <v>32000</v>
      </c>
      <c r="K35" s="14">
        <v>32000</v>
      </c>
      <c r="L35" s="14">
        <v>32000</v>
      </c>
      <c r="M35" s="14">
        <v>32000</v>
      </c>
      <c r="N35" s="14"/>
      <c r="O35" s="14"/>
      <c r="P35" s="14">
        <v>32000</v>
      </c>
      <c r="Q35" s="14">
        <v>32000</v>
      </c>
      <c r="R35" s="14">
        <v>32000</v>
      </c>
      <c r="S35" s="14">
        <v>32000</v>
      </c>
      <c r="T35" s="14"/>
      <c r="U35" s="14"/>
      <c r="V35" s="14"/>
      <c r="W35" s="14">
        <v>32000</v>
      </c>
      <c r="X35" s="14">
        <v>32000</v>
      </c>
      <c r="Y35" s="14">
        <v>32000</v>
      </c>
      <c r="Z35" s="14">
        <v>32000</v>
      </c>
      <c r="AA35" s="14">
        <v>32000</v>
      </c>
      <c r="AB35" s="14"/>
      <c r="AC35" s="14"/>
      <c r="AD35" s="14">
        <v>32000</v>
      </c>
      <c r="AE35" s="14">
        <v>32000</v>
      </c>
      <c r="AF35" s="14">
        <v>32000</v>
      </c>
      <c r="AG35" s="14">
        <v>32000</v>
      </c>
      <c r="AH35" s="14">
        <v>32000</v>
      </c>
      <c r="AI35" s="14"/>
      <c r="AJ35" s="14"/>
      <c r="AK35" s="15"/>
      <c r="AL35" s="14"/>
      <c r="AM35" s="14"/>
      <c r="AN35" s="14"/>
      <c r="AO35" s="14"/>
    </row>
    <row r="36" spans="1:41" ht="15.75" customHeight="1" x14ac:dyDescent="0.6">
      <c r="A36" s="14" t="s">
        <v>30</v>
      </c>
      <c r="B36" s="14" t="s">
        <v>49</v>
      </c>
      <c r="C36" s="14" t="s">
        <v>32</v>
      </c>
      <c r="D36" s="14" t="s">
        <v>37</v>
      </c>
      <c r="E36" s="14"/>
      <c r="F36" s="14">
        <v>40000</v>
      </c>
      <c r="G36" s="14"/>
      <c r="H36" s="14"/>
      <c r="I36" s="14">
        <v>40000</v>
      </c>
      <c r="J36" s="14">
        <v>40000</v>
      </c>
      <c r="K36" s="14">
        <v>40000</v>
      </c>
      <c r="L36" s="14">
        <v>40000</v>
      </c>
      <c r="M36" s="14">
        <v>40000</v>
      </c>
      <c r="N36" s="14"/>
      <c r="O36" s="14"/>
      <c r="P36" s="14">
        <v>40000</v>
      </c>
      <c r="Q36" s="14">
        <v>40000</v>
      </c>
      <c r="R36" s="14">
        <v>40000</v>
      </c>
      <c r="S36" s="14">
        <v>40000</v>
      </c>
      <c r="T36" s="14"/>
      <c r="U36" s="14"/>
      <c r="V36" s="14"/>
      <c r="W36" s="14">
        <v>40000</v>
      </c>
      <c r="X36" s="14">
        <v>40000</v>
      </c>
      <c r="Y36" s="14">
        <v>40000</v>
      </c>
      <c r="Z36" s="14">
        <v>40000</v>
      </c>
      <c r="AA36" s="14">
        <v>40000</v>
      </c>
      <c r="AB36" s="14"/>
      <c r="AC36" s="14"/>
      <c r="AD36" s="14">
        <v>40000</v>
      </c>
      <c r="AE36" s="14">
        <v>40000</v>
      </c>
      <c r="AF36" s="14">
        <v>40000</v>
      </c>
      <c r="AG36" s="14">
        <v>40000</v>
      </c>
      <c r="AH36" s="14">
        <v>40000</v>
      </c>
      <c r="AI36" s="14"/>
      <c r="AJ36" s="14"/>
      <c r="AK36" s="15"/>
      <c r="AL36" s="14"/>
      <c r="AM36" s="14"/>
      <c r="AN36" s="14"/>
      <c r="AO36" s="14"/>
    </row>
    <row r="37" spans="1:41" ht="15.75" customHeight="1" x14ac:dyDescent="0.6">
      <c r="A37" s="14" t="s">
        <v>30</v>
      </c>
      <c r="B37" s="14" t="s">
        <v>49</v>
      </c>
      <c r="C37" s="14" t="s">
        <v>32</v>
      </c>
      <c r="D37" s="14" t="s">
        <v>38</v>
      </c>
      <c r="E37" s="14"/>
      <c r="F37" s="14">
        <v>38400</v>
      </c>
      <c r="G37" s="14"/>
      <c r="H37" s="14"/>
      <c r="I37" s="14">
        <v>36800</v>
      </c>
      <c r="J37" s="14">
        <v>36800</v>
      </c>
      <c r="K37" s="14">
        <v>36800</v>
      </c>
      <c r="L37" s="14">
        <v>36800</v>
      </c>
      <c r="M37" s="14">
        <v>36800</v>
      </c>
      <c r="N37" s="14"/>
      <c r="O37" s="14"/>
      <c r="P37" s="14">
        <v>36800</v>
      </c>
      <c r="Q37" s="14">
        <v>36800</v>
      </c>
      <c r="R37" s="14">
        <v>36800</v>
      </c>
      <c r="S37" s="14">
        <v>36800</v>
      </c>
      <c r="T37" s="14"/>
      <c r="U37" s="14"/>
      <c r="V37" s="14"/>
      <c r="W37" s="14">
        <v>35200</v>
      </c>
      <c r="X37" s="14">
        <v>35200</v>
      </c>
      <c r="Y37" s="14">
        <v>35200</v>
      </c>
      <c r="Z37" s="14">
        <v>35200</v>
      </c>
      <c r="AA37" s="14">
        <v>35200</v>
      </c>
      <c r="AB37" s="14"/>
      <c r="AC37" s="14"/>
      <c r="AD37" s="14">
        <v>35200</v>
      </c>
      <c r="AE37" s="14">
        <v>35200</v>
      </c>
      <c r="AF37" s="14">
        <v>35200</v>
      </c>
      <c r="AG37" s="14">
        <v>35200</v>
      </c>
      <c r="AH37" s="14">
        <v>35200</v>
      </c>
      <c r="AI37" s="14"/>
      <c r="AJ37" s="14"/>
      <c r="AK37" s="15"/>
      <c r="AL37" s="14"/>
      <c r="AM37" s="14"/>
      <c r="AN37" s="14"/>
      <c r="AO37" s="14"/>
    </row>
    <row r="38" spans="1:41" ht="15.75" customHeight="1" x14ac:dyDescent="0.6">
      <c r="A38" s="14" t="s">
        <v>30</v>
      </c>
      <c r="B38" s="14" t="s">
        <v>49</v>
      </c>
      <c r="C38" s="14" t="s">
        <v>32</v>
      </c>
      <c r="D38" s="14" t="s">
        <v>39</v>
      </c>
      <c r="E38" s="14"/>
      <c r="F38" s="14">
        <v>35200</v>
      </c>
      <c r="G38" s="14"/>
      <c r="H38" s="14"/>
      <c r="I38" s="14">
        <v>35200</v>
      </c>
      <c r="J38" s="14">
        <v>35200</v>
      </c>
      <c r="K38" s="14">
        <v>35200</v>
      </c>
      <c r="L38" s="14">
        <v>35200</v>
      </c>
      <c r="M38" s="14">
        <v>35200</v>
      </c>
      <c r="N38" s="14"/>
      <c r="O38" s="14"/>
      <c r="P38" s="14">
        <v>36800</v>
      </c>
      <c r="Q38" s="14">
        <v>36800</v>
      </c>
      <c r="R38" s="14">
        <v>36800</v>
      </c>
      <c r="S38" s="14">
        <v>36800</v>
      </c>
      <c r="T38" s="14"/>
      <c r="U38" s="14"/>
      <c r="V38" s="14"/>
      <c r="W38" s="14">
        <v>36800</v>
      </c>
      <c r="X38" s="14">
        <v>36800</v>
      </c>
      <c r="Y38" s="14">
        <v>36800</v>
      </c>
      <c r="Z38" s="14">
        <v>36800</v>
      </c>
      <c r="AA38" s="14">
        <v>36800</v>
      </c>
      <c r="AB38" s="14"/>
      <c r="AC38" s="14"/>
      <c r="AD38" s="14">
        <v>36800</v>
      </c>
      <c r="AE38" s="14">
        <v>36800</v>
      </c>
      <c r="AF38" s="14">
        <v>36800</v>
      </c>
      <c r="AG38" s="14">
        <v>36800</v>
      </c>
      <c r="AH38" s="14">
        <v>36800</v>
      </c>
      <c r="AI38" s="14"/>
      <c r="AJ38" s="14"/>
      <c r="AK38" s="15"/>
      <c r="AL38" s="14"/>
      <c r="AM38" s="14"/>
      <c r="AN38" s="14"/>
      <c r="AO38" s="14"/>
    </row>
    <row r="39" spans="1:41" ht="15.75" customHeight="1" x14ac:dyDescent="0.6">
      <c r="A39" s="14" t="s">
        <v>30</v>
      </c>
      <c r="B39" s="14" t="s">
        <v>49</v>
      </c>
      <c r="C39" s="14" t="s">
        <v>32</v>
      </c>
      <c r="D39" s="14" t="s">
        <v>40</v>
      </c>
      <c r="E39" s="14"/>
      <c r="F39" s="14">
        <v>34000</v>
      </c>
      <c r="G39" s="14"/>
      <c r="H39" s="14"/>
      <c r="I39" s="14">
        <v>34000</v>
      </c>
      <c r="J39" s="14">
        <v>34000</v>
      </c>
      <c r="K39" s="14">
        <v>34000</v>
      </c>
      <c r="L39" s="14">
        <v>34000</v>
      </c>
      <c r="M39" s="14">
        <v>34000</v>
      </c>
      <c r="N39" s="14"/>
      <c r="O39" s="14"/>
      <c r="P39" s="14">
        <v>34000</v>
      </c>
      <c r="Q39" s="14">
        <v>34000</v>
      </c>
      <c r="R39" s="14">
        <v>34000</v>
      </c>
      <c r="S39" s="14">
        <v>34000</v>
      </c>
      <c r="T39" s="14"/>
      <c r="U39" s="14"/>
      <c r="V39" s="14"/>
      <c r="W39" s="14">
        <v>32667</v>
      </c>
      <c r="X39" s="14">
        <v>32667</v>
      </c>
      <c r="Y39" s="14">
        <v>32667</v>
      </c>
      <c r="Z39" s="14">
        <v>32667</v>
      </c>
      <c r="AA39" s="14">
        <v>32667</v>
      </c>
      <c r="AB39" s="14"/>
      <c r="AC39" s="14"/>
      <c r="AD39" s="14">
        <v>32667</v>
      </c>
      <c r="AE39" s="14">
        <v>32667</v>
      </c>
      <c r="AF39" s="14">
        <v>32667</v>
      </c>
      <c r="AG39" s="14">
        <v>32667</v>
      </c>
      <c r="AH39" s="14">
        <v>32667</v>
      </c>
      <c r="AI39" s="14"/>
      <c r="AJ39" s="14"/>
      <c r="AK39" s="15"/>
      <c r="AL39" s="14"/>
      <c r="AM39" s="14"/>
      <c r="AN39" s="14"/>
      <c r="AO39" s="14"/>
    </row>
    <row r="40" spans="1:41" ht="15.75" customHeight="1" x14ac:dyDescent="0.6">
      <c r="A40" s="14" t="s">
        <v>30</v>
      </c>
      <c r="B40" s="14" t="s">
        <v>49</v>
      </c>
      <c r="C40" s="14" t="s">
        <v>32</v>
      </c>
      <c r="D40" s="14" t="s">
        <v>41</v>
      </c>
      <c r="E40" s="14"/>
      <c r="F40" s="14">
        <v>37400</v>
      </c>
      <c r="G40" s="14"/>
      <c r="H40" s="14"/>
      <c r="I40" s="14">
        <v>37400</v>
      </c>
      <c r="J40" s="14">
        <v>37400</v>
      </c>
      <c r="K40" s="14">
        <v>37400</v>
      </c>
      <c r="L40" s="14">
        <v>37400</v>
      </c>
      <c r="M40" s="14">
        <v>37400</v>
      </c>
      <c r="N40" s="14"/>
      <c r="O40" s="14"/>
      <c r="P40" s="14">
        <v>34000</v>
      </c>
      <c r="Q40" s="14">
        <v>34000</v>
      </c>
      <c r="R40" s="14">
        <v>34000</v>
      </c>
      <c r="S40" s="14">
        <v>34000</v>
      </c>
      <c r="T40" s="14"/>
      <c r="U40" s="14"/>
      <c r="V40" s="14"/>
      <c r="W40" s="14">
        <v>34000</v>
      </c>
      <c r="X40" s="14">
        <v>34000</v>
      </c>
      <c r="Y40" s="14">
        <v>34000</v>
      </c>
      <c r="Z40" s="14">
        <v>34000</v>
      </c>
      <c r="AA40" s="14">
        <v>34000</v>
      </c>
      <c r="AB40" s="14"/>
      <c r="AC40" s="14"/>
      <c r="AD40" s="14">
        <v>34000</v>
      </c>
      <c r="AE40" s="14">
        <v>34000</v>
      </c>
      <c r="AF40" s="14">
        <v>34000</v>
      </c>
      <c r="AG40" s="14">
        <v>34000</v>
      </c>
      <c r="AH40" s="14">
        <v>34000</v>
      </c>
      <c r="AI40" s="14"/>
      <c r="AJ40" s="14"/>
      <c r="AK40" s="15"/>
      <c r="AL40" s="14"/>
      <c r="AM40" s="14"/>
      <c r="AN40" s="14"/>
      <c r="AO40" s="14"/>
    </row>
    <row r="41" spans="1:41" ht="15.75" customHeight="1" x14ac:dyDescent="0.6">
      <c r="A41" s="14" t="s">
        <v>30</v>
      </c>
      <c r="B41" s="14" t="s">
        <v>49</v>
      </c>
      <c r="C41" s="14" t="s">
        <v>32</v>
      </c>
      <c r="D41" s="14" t="s">
        <v>42</v>
      </c>
      <c r="E41" s="14"/>
      <c r="F41" s="14">
        <v>38000</v>
      </c>
      <c r="G41" s="14"/>
      <c r="H41" s="14"/>
      <c r="I41" s="14">
        <v>38000</v>
      </c>
      <c r="J41" s="14">
        <v>38000</v>
      </c>
      <c r="K41" s="14">
        <v>38000</v>
      </c>
      <c r="L41" s="14">
        <v>38000</v>
      </c>
      <c r="M41" s="14">
        <v>38000</v>
      </c>
      <c r="N41" s="14"/>
      <c r="O41" s="14"/>
      <c r="P41" s="14">
        <v>38000</v>
      </c>
      <c r="Q41" s="14">
        <v>38000</v>
      </c>
      <c r="R41" s="14">
        <v>38000</v>
      </c>
      <c r="S41" s="14">
        <v>38000</v>
      </c>
      <c r="T41" s="14"/>
      <c r="U41" s="14"/>
      <c r="V41" s="14"/>
      <c r="W41" s="14">
        <v>38000</v>
      </c>
      <c r="X41" s="14">
        <v>38000</v>
      </c>
      <c r="Y41" s="14">
        <v>38000</v>
      </c>
      <c r="Z41" s="14">
        <v>38000</v>
      </c>
      <c r="AA41" s="14">
        <v>38000</v>
      </c>
      <c r="AB41" s="14"/>
      <c r="AC41" s="14"/>
      <c r="AD41" s="14">
        <v>38000</v>
      </c>
      <c r="AE41" s="14">
        <v>38000</v>
      </c>
      <c r="AF41" s="14">
        <v>38000</v>
      </c>
      <c r="AG41" s="14">
        <v>38000</v>
      </c>
      <c r="AH41" s="14">
        <v>38000</v>
      </c>
      <c r="AI41" s="14"/>
      <c r="AJ41" s="14"/>
      <c r="AK41" s="15"/>
      <c r="AL41" s="14"/>
      <c r="AM41" s="14"/>
      <c r="AN41" s="14"/>
      <c r="AO41" s="14"/>
    </row>
    <row r="42" spans="1:41" ht="15.75" customHeight="1" x14ac:dyDescent="0.6">
      <c r="A42" s="14" t="s">
        <v>30</v>
      </c>
      <c r="B42" s="14" t="s">
        <v>49</v>
      </c>
      <c r="C42" s="14" t="s">
        <v>32</v>
      </c>
      <c r="D42" s="14" t="s">
        <v>43</v>
      </c>
      <c r="E42" s="14"/>
      <c r="F42" s="14">
        <v>36800</v>
      </c>
      <c r="G42" s="14"/>
      <c r="H42" s="14"/>
      <c r="I42" s="14">
        <v>36800</v>
      </c>
      <c r="J42" s="14">
        <v>36800</v>
      </c>
      <c r="K42" s="14">
        <v>36800</v>
      </c>
      <c r="L42" s="14">
        <v>36800</v>
      </c>
      <c r="M42" s="14">
        <v>36800</v>
      </c>
      <c r="N42" s="14"/>
      <c r="O42" s="14"/>
      <c r="P42" s="14">
        <v>36800</v>
      </c>
      <c r="Q42" s="14">
        <v>36800</v>
      </c>
      <c r="R42" s="14">
        <v>36800</v>
      </c>
      <c r="S42" s="14">
        <v>36800</v>
      </c>
      <c r="T42" s="14"/>
      <c r="U42" s="14"/>
      <c r="V42" s="14"/>
      <c r="W42" s="14">
        <v>36800</v>
      </c>
      <c r="X42" s="14">
        <v>36800</v>
      </c>
      <c r="Y42" s="14">
        <v>36800</v>
      </c>
      <c r="Z42" s="14">
        <v>36800</v>
      </c>
      <c r="AA42" s="14">
        <v>36800</v>
      </c>
      <c r="AB42" s="14"/>
      <c r="AC42" s="14"/>
      <c r="AD42" s="14">
        <v>36800</v>
      </c>
      <c r="AE42" s="14">
        <v>36800</v>
      </c>
      <c r="AF42" s="14">
        <v>36800</v>
      </c>
      <c r="AG42" s="14">
        <v>36800</v>
      </c>
      <c r="AH42" s="14">
        <v>36800</v>
      </c>
      <c r="AI42" s="14"/>
      <c r="AJ42" s="14"/>
      <c r="AK42" s="15"/>
      <c r="AL42" s="14"/>
      <c r="AM42" s="14"/>
      <c r="AN42" s="14"/>
      <c r="AO42" s="14"/>
    </row>
    <row r="43" spans="1:41" ht="15.75" customHeight="1" x14ac:dyDescent="0.6">
      <c r="A43" s="14" t="s">
        <v>30</v>
      </c>
      <c r="B43" s="14" t="s">
        <v>49</v>
      </c>
      <c r="C43" s="14" t="s">
        <v>32</v>
      </c>
      <c r="D43" s="14" t="s">
        <v>44</v>
      </c>
      <c r="E43" s="14"/>
      <c r="F43" s="14">
        <v>40000</v>
      </c>
      <c r="G43" s="14"/>
      <c r="H43" s="14"/>
      <c r="I43" s="14">
        <v>40000</v>
      </c>
      <c r="J43" s="14">
        <v>40000</v>
      </c>
      <c r="K43" s="14">
        <v>40000</v>
      </c>
      <c r="L43" s="14">
        <v>40000</v>
      </c>
      <c r="M43" s="14">
        <v>40000</v>
      </c>
      <c r="N43" s="14"/>
      <c r="O43" s="14"/>
      <c r="P43" s="14">
        <v>40000</v>
      </c>
      <c r="Q43" s="14">
        <v>40000</v>
      </c>
      <c r="R43" s="14">
        <v>40000</v>
      </c>
      <c r="S43" s="14">
        <v>40000</v>
      </c>
      <c r="T43" s="14"/>
      <c r="U43" s="14"/>
      <c r="V43" s="14"/>
      <c r="W43" s="14">
        <v>40000</v>
      </c>
      <c r="X43" s="14">
        <v>40000</v>
      </c>
      <c r="Y43" s="14">
        <v>40000</v>
      </c>
      <c r="Z43" s="14">
        <v>40000</v>
      </c>
      <c r="AA43" s="14">
        <v>40000</v>
      </c>
      <c r="AB43" s="14"/>
      <c r="AC43" s="14"/>
      <c r="AD43" s="14">
        <v>40000</v>
      </c>
      <c r="AE43" s="14">
        <v>40000</v>
      </c>
      <c r="AF43" s="14">
        <v>40000</v>
      </c>
      <c r="AG43" s="14">
        <v>40000</v>
      </c>
      <c r="AH43" s="14">
        <v>40000</v>
      </c>
      <c r="AI43" s="14"/>
      <c r="AJ43" s="14"/>
      <c r="AK43" s="15"/>
      <c r="AL43" s="14"/>
      <c r="AM43" s="14"/>
      <c r="AN43" s="14"/>
      <c r="AO43" s="14"/>
    </row>
    <row r="44" spans="1:41" ht="15.75" customHeight="1" x14ac:dyDescent="0.6">
      <c r="A44" s="14" t="s">
        <v>30</v>
      </c>
      <c r="B44" s="14" t="s">
        <v>49</v>
      </c>
      <c r="C44" s="14" t="s">
        <v>32</v>
      </c>
      <c r="D44" s="14" t="s">
        <v>45</v>
      </c>
      <c r="E44" s="14"/>
      <c r="F44" s="14">
        <v>33000</v>
      </c>
      <c r="G44" s="14"/>
      <c r="H44" s="14"/>
      <c r="I44" s="14">
        <v>33000</v>
      </c>
      <c r="J44" s="14">
        <v>33000</v>
      </c>
      <c r="K44" s="14">
        <v>33000</v>
      </c>
      <c r="L44" s="14">
        <v>33000</v>
      </c>
      <c r="M44" s="14">
        <v>33000</v>
      </c>
      <c r="N44" s="14"/>
      <c r="O44" s="14"/>
      <c r="P44" s="14">
        <v>33000</v>
      </c>
      <c r="Q44" s="14">
        <v>33000</v>
      </c>
      <c r="R44" s="14">
        <v>33000</v>
      </c>
      <c r="S44" s="14">
        <v>33000</v>
      </c>
      <c r="T44" s="14"/>
      <c r="U44" s="14"/>
      <c r="V44" s="14"/>
      <c r="W44" s="14">
        <v>33000</v>
      </c>
      <c r="X44" s="14">
        <v>33000</v>
      </c>
      <c r="Y44" s="14">
        <v>33000</v>
      </c>
      <c r="Z44" s="14">
        <v>30000</v>
      </c>
      <c r="AA44" s="14">
        <v>30000</v>
      </c>
      <c r="AB44" s="14"/>
      <c r="AC44" s="14"/>
      <c r="AD44" s="14">
        <v>30000</v>
      </c>
      <c r="AE44" s="14">
        <v>30000</v>
      </c>
      <c r="AF44" s="14">
        <v>30000</v>
      </c>
      <c r="AG44" s="14">
        <v>30000</v>
      </c>
      <c r="AH44" s="14">
        <v>30000</v>
      </c>
      <c r="AI44" s="14"/>
      <c r="AJ44" s="14"/>
      <c r="AK44" s="15"/>
      <c r="AL44" s="14"/>
      <c r="AM44" s="14"/>
      <c r="AN44" s="14"/>
      <c r="AO44" s="14"/>
    </row>
    <row r="45" spans="1:41" ht="15.75" customHeight="1" x14ac:dyDescent="0.6">
      <c r="A45" s="14" t="s">
        <v>30</v>
      </c>
      <c r="B45" s="14" t="s">
        <v>49</v>
      </c>
      <c r="C45" s="14" t="s">
        <v>32</v>
      </c>
      <c r="D45" s="14" t="s">
        <v>46</v>
      </c>
      <c r="E45" s="14"/>
      <c r="F45" s="14">
        <v>34000</v>
      </c>
      <c r="G45" s="14"/>
      <c r="H45" s="14"/>
      <c r="I45" s="14">
        <v>34000</v>
      </c>
      <c r="J45" s="14">
        <v>34000</v>
      </c>
      <c r="K45" s="14">
        <v>34000</v>
      </c>
      <c r="L45" s="14">
        <v>33667</v>
      </c>
      <c r="M45" s="14">
        <v>33667</v>
      </c>
      <c r="N45" s="14"/>
      <c r="O45" s="14"/>
      <c r="P45" s="14">
        <v>31667</v>
      </c>
      <c r="Q45" s="14">
        <v>31000</v>
      </c>
      <c r="R45" s="14">
        <v>31000</v>
      </c>
      <c r="S45" s="14">
        <v>32000</v>
      </c>
      <c r="T45" s="14"/>
      <c r="U45" s="14"/>
      <c r="V45" s="14"/>
      <c r="W45" s="14">
        <v>31667</v>
      </c>
      <c r="X45" s="14">
        <v>31667</v>
      </c>
      <c r="Y45" s="14">
        <v>31667</v>
      </c>
      <c r="Z45" s="14">
        <v>31667</v>
      </c>
      <c r="AA45" s="14">
        <v>31667</v>
      </c>
      <c r="AB45" s="14"/>
      <c r="AC45" s="14"/>
      <c r="AD45" s="14">
        <v>31667</v>
      </c>
      <c r="AE45" s="14">
        <v>31667</v>
      </c>
      <c r="AF45" s="14">
        <v>31667</v>
      </c>
      <c r="AG45" s="14">
        <v>31667</v>
      </c>
      <c r="AH45" s="14">
        <v>31333</v>
      </c>
      <c r="AI45" s="14"/>
      <c r="AJ45" s="14"/>
      <c r="AK45" s="15"/>
      <c r="AL45" s="14"/>
      <c r="AM45" s="14"/>
      <c r="AN45" s="14"/>
      <c r="AO45" s="14"/>
    </row>
    <row r="46" spans="1:41" ht="15.75" customHeight="1" x14ac:dyDescent="0.6">
      <c r="A46" s="14" t="s">
        <v>30</v>
      </c>
      <c r="B46" s="14" t="s">
        <v>49</v>
      </c>
      <c r="C46" s="14" t="s">
        <v>32</v>
      </c>
      <c r="D46" s="14" t="s">
        <v>47</v>
      </c>
      <c r="E46" s="14"/>
      <c r="F46" s="14">
        <v>33000</v>
      </c>
      <c r="G46" s="14"/>
      <c r="H46" s="14"/>
      <c r="I46" s="14">
        <v>32000</v>
      </c>
      <c r="J46" s="14">
        <v>32000</v>
      </c>
      <c r="K46" s="14">
        <v>32000</v>
      </c>
      <c r="L46" s="14">
        <v>32000</v>
      </c>
      <c r="M46" s="14">
        <v>32000</v>
      </c>
      <c r="N46" s="14"/>
      <c r="O46" s="14"/>
      <c r="P46" s="14">
        <v>32000</v>
      </c>
      <c r="Q46" s="14">
        <v>32000</v>
      </c>
      <c r="R46" s="14">
        <v>32000</v>
      </c>
      <c r="S46" s="14">
        <v>32000</v>
      </c>
      <c r="T46" s="14"/>
      <c r="U46" s="14"/>
      <c r="V46" s="14"/>
      <c r="W46" s="14">
        <v>32000</v>
      </c>
      <c r="X46" s="14">
        <v>31000</v>
      </c>
      <c r="Y46" s="14">
        <v>31000</v>
      </c>
      <c r="Z46" s="14">
        <v>31000</v>
      </c>
      <c r="AA46" s="14">
        <v>31000</v>
      </c>
      <c r="AB46" s="14"/>
      <c r="AC46" s="14"/>
      <c r="AD46" s="14">
        <v>31000</v>
      </c>
      <c r="AE46" s="14">
        <v>31000</v>
      </c>
      <c r="AF46" s="14">
        <v>31000</v>
      </c>
      <c r="AG46" s="14">
        <v>31000</v>
      </c>
      <c r="AH46" s="14">
        <v>31000</v>
      </c>
      <c r="AI46" s="14"/>
      <c r="AJ46" s="14"/>
      <c r="AK46" s="15"/>
      <c r="AL46" s="14"/>
      <c r="AM46" s="14"/>
      <c r="AN46" s="14"/>
      <c r="AO46" s="14"/>
    </row>
    <row r="47" spans="1:41" ht="15.75" customHeight="1" x14ac:dyDescent="0.6">
      <c r="A47" s="16" t="s">
        <v>50</v>
      </c>
      <c r="B47" s="16" t="s">
        <v>3</v>
      </c>
      <c r="C47" s="16" t="s">
        <v>32</v>
      </c>
      <c r="D47" s="16" t="s">
        <v>33</v>
      </c>
      <c r="E47" s="16"/>
      <c r="F47" s="16">
        <v>154348</v>
      </c>
      <c r="G47" s="16">
        <v>155185</v>
      </c>
      <c r="H47" s="16">
        <v>155833</v>
      </c>
      <c r="I47" s="16">
        <v>155781</v>
      </c>
      <c r="J47" s="16">
        <v>156167</v>
      </c>
      <c r="K47" s="16">
        <v>155167</v>
      </c>
      <c r="L47" s="16">
        <v>155577</v>
      </c>
      <c r="M47" s="16">
        <v>154643</v>
      </c>
      <c r="N47" s="16">
        <v>154643</v>
      </c>
      <c r="O47" s="16">
        <v>156677</v>
      </c>
      <c r="P47" s="16">
        <v>155833</v>
      </c>
      <c r="Q47" s="16">
        <v>155500</v>
      </c>
      <c r="R47" s="16">
        <v>156034</v>
      </c>
      <c r="S47" s="16">
        <v>155469</v>
      </c>
      <c r="T47" s="16">
        <v>155645</v>
      </c>
      <c r="U47" s="16">
        <v>155469</v>
      </c>
      <c r="V47" s="16">
        <v>155323</v>
      </c>
      <c r="W47" s="16">
        <v>155469</v>
      </c>
      <c r="X47" s="16">
        <v>155345</v>
      </c>
      <c r="Y47" s="16">
        <v>156034</v>
      </c>
      <c r="Z47" s="16">
        <v>155469</v>
      </c>
      <c r="AA47" s="16">
        <v>155303</v>
      </c>
      <c r="AB47" s="16">
        <v>155000</v>
      </c>
      <c r="AC47" s="16">
        <v>155167</v>
      </c>
      <c r="AD47" s="16">
        <v>154483</v>
      </c>
      <c r="AE47" s="16">
        <v>155303</v>
      </c>
      <c r="AF47" s="16">
        <v>155556</v>
      </c>
      <c r="AG47" s="16">
        <v>155625</v>
      </c>
      <c r="AH47" s="16">
        <v>155690</v>
      </c>
      <c r="AI47" s="16">
        <v>155714</v>
      </c>
      <c r="AJ47" s="16"/>
      <c r="AK47" s="17">
        <f>AVERAGE(E47:AJ47)</f>
        <v>155448.4</v>
      </c>
      <c r="AL47" s="16"/>
      <c r="AM47" s="16"/>
      <c r="AN47" s="16"/>
      <c r="AO47" s="16"/>
    </row>
    <row r="48" spans="1:41" ht="15.75" customHeight="1" x14ac:dyDescent="0.6">
      <c r="A48" s="16" t="s">
        <v>50</v>
      </c>
      <c r="B48" s="16" t="s">
        <v>3</v>
      </c>
      <c r="C48" s="16" t="s">
        <v>32</v>
      </c>
      <c r="D48" s="16" t="s">
        <v>40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8"/>
      <c r="AE48" s="16"/>
      <c r="AF48" s="16"/>
      <c r="AG48" s="16"/>
      <c r="AH48" s="16"/>
      <c r="AI48" s="16"/>
      <c r="AJ48" s="16"/>
      <c r="AK48" s="17"/>
      <c r="AL48" s="16"/>
      <c r="AM48" s="16"/>
      <c r="AN48" s="16"/>
      <c r="AO48" s="16"/>
    </row>
    <row r="49" spans="1:41" ht="15.75" customHeight="1" x14ac:dyDescent="0.6">
      <c r="A49" s="16" t="s">
        <v>50</v>
      </c>
      <c r="B49" s="16" t="s">
        <v>3</v>
      </c>
      <c r="C49" s="16" t="s">
        <v>32</v>
      </c>
      <c r="D49" s="16" t="s">
        <v>39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7"/>
      <c r="AL49" s="16"/>
      <c r="AM49" s="16"/>
      <c r="AN49" s="16"/>
      <c r="AO49" s="16"/>
    </row>
    <row r="50" spans="1:41" ht="15.75" customHeight="1" x14ac:dyDescent="0.6">
      <c r="A50" s="16" t="s">
        <v>50</v>
      </c>
      <c r="B50" s="16" t="s">
        <v>3</v>
      </c>
      <c r="C50" s="16" t="s">
        <v>32</v>
      </c>
      <c r="D50" s="16" t="s">
        <v>44</v>
      </c>
      <c r="E50" s="16"/>
      <c r="F50" s="16"/>
      <c r="G50" s="16">
        <v>160000</v>
      </c>
      <c r="H50" s="16"/>
      <c r="I50" s="16">
        <v>160000</v>
      </c>
      <c r="J50" s="16">
        <v>160000</v>
      </c>
      <c r="K50" s="16"/>
      <c r="L50" s="16">
        <v>160000</v>
      </c>
      <c r="M50" s="16"/>
      <c r="N50" s="16">
        <v>160000</v>
      </c>
      <c r="O50" s="16"/>
      <c r="P50" s="16"/>
      <c r="Q50" s="16"/>
      <c r="R50" s="16"/>
      <c r="S50" s="16">
        <v>160000</v>
      </c>
      <c r="T50" s="16">
        <v>160000</v>
      </c>
      <c r="U50" s="16">
        <v>160000</v>
      </c>
      <c r="V50" s="16">
        <v>160000</v>
      </c>
      <c r="W50" s="16"/>
      <c r="X50" s="16"/>
      <c r="Y50" s="16">
        <v>160000</v>
      </c>
      <c r="Z50" s="16">
        <v>160000</v>
      </c>
      <c r="AA50" s="16">
        <v>160000</v>
      </c>
      <c r="AB50" s="16">
        <v>160000</v>
      </c>
      <c r="AC50" s="16">
        <v>160000</v>
      </c>
      <c r="AD50" s="16"/>
      <c r="AE50" s="16">
        <v>160000</v>
      </c>
      <c r="AF50" s="16"/>
      <c r="AG50" s="16">
        <v>160000</v>
      </c>
      <c r="AH50" s="16"/>
      <c r="AI50" s="16">
        <v>160000</v>
      </c>
      <c r="AJ50" s="16"/>
      <c r="AK50" s="17"/>
      <c r="AL50" s="16"/>
      <c r="AM50" s="16"/>
      <c r="AN50" s="16"/>
      <c r="AO50" s="16"/>
    </row>
    <row r="51" spans="1:41" ht="15.75" customHeight="1" x14ac:dyDescent="0.6">
      <c r="A51" s="16" t="s">
        <v>50</v>
      </c>
      <c r="B51" s="16" t="s">
        <v>3</v>
      </c>
      <c r="C51" s="16" t="s">
        <v>32</v>
      </c>
      <c r="D51" s="16" t="s">
        <v>37</v>
      </c>
      <c r="E51" s="16"/>
      <c r="F51" s="16">
        <v>150000</v>
      </c>
      <c r="G51" s="16">
        <v>150000</v>
      </c>
      <c r="H51" s="16">
        <v>150000</v>
      </c>
      <c r="I51" s="16">
        <v>150000</v>
      </c>
      <c r="J51" s="16">
        <v>150000</v>
      </c>
      <c r="K51" s="16">
        <v>148000</v>
      </c>
      <c r="L51" s="16">
        <v>147500</v>
      </c>
      <c r="M51" s="16">
        <v>148000</v>
      </c>
      <c r="N51" s="16">
        <v>148000</v>
      </c>
      <c r="O51" s="16">
        <v>148000</v>
      </c>
      <c r="P51" s="16">
        <v>146667</v>
      </c>
      <c r="Q51" s="16">
        <v>148000</v>
      </c>
      <c r="R51" s="16">
        <v>148000</v>
      </c>
      <c r="S51" s="16">
        <v>148000</v>
      </c>
      <c r="T51" s="16">
        <v>148000</v>
      </c>
      <c r="U51" s="16">
        <v>148000</v>
      </c>
      <c r="V51" s="16">
        <v>148000</v>
      </c>
      <c r="W51" s="16">
        <v>148000</v>
      </c>
      <c r="X51" s="16">
        <v>148000</v>
      </c>
      <c r="Y51" s="16">
        <v>148000</v>
      </c>
      <c r="Z51" s="16">
        <v>148000</v>
      </c>
      <c r="AA51" s="16">
        <v>146000</v>
      </c>
      <c r="AB51" s="16">
        <v>146000</v>
      </c>
      <c r="AC51" s="16">
        <v>146000</v>
      </c>
      <c r="AD51" s="16">
        <v>146000</v>
      </c>
      <c r="AE51" s="16">
        <v>146000</v>
      </c>
      <c r="AF51" s="16">
        <v>143333</v>
      </c>
      <c r="AG51" s="16">
        <v>146000</v>
      </c>
      <c r="AH51" s="16"/>
      <c r="AI51" s="16">
        <v>146000</v>
      </c>
      <c r="AJ51" s="16"/>
      <c r="AK51" s="17"/>
      <c r="AL51" s="16"/>
      <c r="AM51" s="16"/>
      <c r="AN51" s="16"/>
      <c r="AO51" s="16"/>
    </row>
    <row r="52" spans="1:41" ht="15.75" customHeight="1" x14ac:dyDescent="0.6">
      <c r="A52" s="16" t="s">
        <v>50</v>
      </c>
      <c r="B52" s="16" t="s">
        <v>3</v>
      </c>
      <c r="C52" s="16" t="s">
        <v>32</v>
      </c>
      <c r="D52" s="16" t="s">
        <v>45</v>
      </c>
      <c r="E52" s="16"/>
      <c r="F52" s="16">
        <v>160000</v>
      </c>
      <c r="G52" s="16">
        <v>160000</v>
      </c>
      <c r="H52" s="16">
        <v>160000</v>
      </c>
      <c r="I52" s="16">
        <v>160000</v>
      </c>
      <c r="J52" s="16">
        <v>160000</v>
      </c>
      <c r="K52" s="16">
        <v>160000</v>
      </c>
      <c r="L52" s="16">
        <v>160000</v>
      </c>
      <c r="M52" s="16">
        <v>160000</v>
      </c>
      <c r="N52" s="16">
        <v>160000</v>
      </c>
      <c r="O52" s="16">
        <v>160000</v>
      </c>
      <c r="P52" s="16">
        <v>160000</v>
      </c>
      <c r="Q52" s="16">
        <v>160000</v>
      </c>
      <c r="R52" s="16">
        <v>160000</v>
      </c>
      <c r="S52" s="16">
        <v>160000</v>
      </c>
      <c r="T52" s="16">
        <v>160000</v>
      </c>
      <c r="U52" s="16">
        <v>160000</v>
      </c>
      <c r="V52" s="16">
        <v>160000</v>
      </c>
      <c r="W52" s="16">
        <v>160000</v>
      </c>
      <c r="X52" s="16">
        <v>160000</v>
      </c>
      <c r="Y52" s="16">
        <v>160000</v>
      </c>
      <c r="Z52" s="16">
        <v>160000</v>
      </c>
      <c r="AA52" s="16">
        <v>160000</v>
      </c>
      <c r="AB52" s="16">
        <v>160000</v>
      </c>
      <c r="AC52" s="16">
        <v>160000</v>
      </c>
      <c r="AD52" s="16">
        <v>160000</v>
      </c>
      <c r="AE52" s="16">
        <v>160000</v>
      </c>
      <c r="AF52" s="16">
        <v>160000</v>
      </c>
      <c r="AG52" s="16">
        <v>160000</v>
      </c>
      <c r="AH52" s="16"/>
      <c r="AI52" s="16">
        <v>160000</v>
      </c>
      <c r="AJ52" s="16"/>
      <c r="AK52" s="17"/>
      <c r="AL52" s="16"/>
      <c r="AM52" s="16"/>
      <c r="AN52" s="16"/>
      <c r="AO52" s="16"/>
    </row>
    <row r="53" spans="1:41" ht="15.75" customHeight="1" x14ac:dyDescent="0.6">
      <c r="A53" s="16" t="s">
        <v>50</v>
      </c>
      <c r="B53" s="16" t="s">
        <v>3</v>
      </c>
      <c r="C53" s="16" t="s">
        <v>32</v>
      </c>
      <c r="D53" s="16" t="s">
        <v>41</v>
      </c>
      <c r="E53" s="16"/>
      <c r="F53" s="16"/>
      <c r="G53" s="16"/>
      <c r="H53" s="16">
        <v>161667</v>
      </c>
      <c r="I53" s="16">
        <v>161667</v>
      </c>
      <c r="J53" s="16">
        <v>161667</v>
      </c>
      <c r="K53" s="16">
        <v>162500</v>
      </c>
      <c r="L53" s="16">
        <v>161667</v>
      </c>
      <c r="M53" s="16"/>
      <c r="N53" s="16"/>
      <c r="O53" s="16">
        <v>162500</v>
      </c>
      <c r="P53" s="16">
        <v>161667</v>
      </c>
      <c r="Q53" s="16">
        <v>162500</v>
      </c>
      <c r="R53" s="16">
        <v>161667</v>
      </c>
      <c r="S53" s="16">
        <v>161667</v>
      </c>
      <c r="T53" s="16">
        <v>161667</v>
      </c>
      <c r="U53" s="16">
        <v>161667</v>
      </c>
      <c r="V53" s="16">
        <v>161667</v>
      </c>
      <c r="W53" s="16">
        <v>161667</v>
      </c>
      <c r="X53" s="16">
        <v>165000</v>
      </c>
      <c r="Y53" s="16">
        <v>162500</v>
      </c>
      <c r="Z53" s="16">
        <v>162500</v>
      </c>
      <c r="AA53" s="16">
        <v>161667</v>
      </c>
      <c r="AB53" s="16">
        <v>161667</v>
      </c>
      <c r="AC53" s="16">
        <v>162500</v>
      </c>
      <c r="AD53" s="16"/>
      <c r="AE53" s="16">
        <v>161667</v>
      </c>
      <c r="AF53" s="16">
        <v>165000</v>
      </c>
      <c r="AG53" s="16">
        <v>163333</v>
      </c>
      <c r="AH53" s="16"/>
      <c r="AI53" s="16">
        <v>165000</v>
      </c>
      <c r="AJ53" s="16"/>
      <c r="AK53" s="17"/>
      <c r="AL53" s="16"/>
      <c r="AM53" s="16"/>
      <c r="AN53" s="16"/>
      <c r="AO53" s="16"/>
    </row>
    <row r="54" spans="1:41" ht="15.75" customHeight="1" x14ac:dyDescent="0.6">
      <c r="A54" s="16" t="s">
        <v>50</v>
      </c>
      <c r="B54" s="16" t="s">
        <v>3</v>
      </c>
      <c r="C54" s="16" t="s">
        <v>32</v>
      </c>
      <c r="D54" s="16" t="s">
        <v>43</v>
      </c>
      <c r="E54" s="16"/>
      <c r="F54" s="16">
        <v>160000</v>
      </c>
      <c r="G54" s="16">
        <v>160000</v>
      </c>
      <c r="H54" s="16">
        <v>160000</v>
      </c>
      <c r="I54" s="16">
        <v>160000</v>
      </c>
      <c r="J54" s="16">
        <v>160000</v>
      </c>
      <c r="K54" s="16">
        <v>160000</v>
      </c>
      <c r="L54" s="16">
        <v>160000</v>
      </c>
      <c r="M54" s="16">
        <v>160000</v>
      </c>
      <c r="N54" s="16">
        <v>160000</v>
      </c>
      <c r="O54" s="16">
        <v>160000</v>
      </c>
      <c r="P54" s="16">
        <v>160000</v>
      </c>
      <c r="Q54" s="16">
        <v>160000</v>
      </c>
      <c r="R54" s="16">
        <v>160000</v>
      </c>
      <c r="S54" s="16">
        <v>160000</v>
      </c>
      <c r="T54" s="16">
        <v>160000</v>
      </c>
      <c r="U54" s="16">
        <v>160000</v>
      </c>
      <c r="V54" s="16">
        <v>160000</v>
      </c>
      <c r="W54" s="16">
        <v>160000</v>
      </c>
      <c r="X54" s="16">
        <v>160000</v>
      </c>
      <c r="Y54" s="16">
        <v>160000</v>
      </c>
      <c r="Z54" s="16">
        <v>160000</v>
      </c>
      <c r="AA54" s="16">
        <v>160000</v>
      </c>
      <c r="AB54" s="16">
        <v>160000</v>
      </c>
      <c r="AC54" s="16">
        <v>160000</v>
      </c>
      <c r="AD54" s="16">
        <v>160000</v>
      </c>
      <c r="AE54" s="16">
        <v>160000</v>
      </c>
      <c r="AF54" s="16">
        <v>160000</v>
      </c>
      <c r="AG54" s="16">
        <v>160000</v>
      </c>
      <c r="AH54" s="16"/>
      <c r="AI54" s="16">
        <v>160000</v>
      </c>
      <c r="AJ54" s="16"/>
      <c r="AK54" s="17"/>
      <c r="AL54" s="16"/>
      <c r="AM54" s="16"/>
      <c r="AN54" s="16"/>
      <c r="AO54" s="16"/>
    </row>
    <row r="55" spans="1:41" ht="15.75" customHeight="1" x14ac:dyDescent="0.6">
      <c r="A55" s="16" t="s">
        <v>50</v>
      </c>
      <c r="B55" s="16" t="s">
        <v>3</v>
      </c>
      <c r="C55" s="16" t="s">
        <v>32</v>
      </c>
      <c r="D55" s="16" t="s">
        <v>35</v>
      </c>
      <c r="E55" s="16"/>
      <c r="F55" s="16">
        <v>150000</v>
      </c>
      <c r="G55" s="16">
        <v>150000</v>
      </c>
      <c r="H55" s="16">
        <v>150000</v>
      </c>
      <c r="I55" s="16">
        <v>150000</v>
      </c>
      <c r="J55" s="16">
        <v>150000</v>
      </c>
      <c r="K55" s="16">
        <v>150000</v>
      </c>
      <c r="L55" s="16">
        <v>150000</v>
      </c>
      <c r="M55" s="16">
        <v>150000</v>
      </c>
      <c r="N55" s="16">
        <v>150000</v>
      </c>
      <c r="O55" s="16">
        <v>143333</v>
      </c>
      <c r="P55" s="16">
        <v>150000</v>
      </c>
      <c r="Q55" s="16">
        <v>150000</v>
      </c>
      <c r="R55" s="16"/>
      <c r="S55" s="16">
        <v>150000</v>
      </c>
      <c r="T55" s="16">
        <v>150000</v>
      </c>
      <c r="U55" s="16">
        <v>150000</v>
      </c>
      <c r="V55" s="16">
        <v>150000</v>
      </c>
      <c r="W55" s="16">
        <v>150000</v>
      </c>
      <c r="X55" s="16">
        <v>150000</v>
      </c>
      <c r="Y55" s="16">
        <v>150000</v>
      </c>
      <c r="Z55" s="16">
        <v>150000</v>
      </c>
      <c r="AA55" s="16">
        <v>150000</v>
      </c>
      <c r="AB55" s="16">
        <v>150000</v>
      </c>
      <c r="AC55" s="16">
        <v>150000</v>
      </c>
      <c r="AD55" s="16">
        <v>150000</v>
      </c>
      <c r="AE55" s="16">
        <v>150000</v>
      </c>
      <c r="AF55" s="16">
        <v>150000</v>
      </c>
      <c r="AG55" s="16">
        <v>150000</v>
      </c>
      <c r="AH55" s="16"/>
      <c r="AI55" s="16"/>
      <c r="AJ55" s="16"/>
      <c r="AK55" s="17"/>
      <c r="AL55" s="16"/>
      <c r="AM55" s="16"/>
      <c r="AN55" s="16"/>
      <c r="AO55" s="16"/>
    </row>
    <row r="56" spans="1:41" ht="15.75" customHeight="1" x14ac:dyDescent="0.6">
      <c r="A56" s="16" t="s">
        <v>50</v>
      </c>
      <c r="B56" s="16" t="s">
        <v>3</v>
      </c>
      <c r="C56" s="16" t="s">
        <v>32</v>
      </c>
      <c r="D56" s="16" t="s">
        <v>34</v>
      </c>
      <c r="E56" s="16"/>
      <c r="F56" s="16"/>
      <c r="G56" s="16">
        <v>160000</v>
      </c>
      <c r="H56" s="16">
        <v>160000</v>
      </c>
      <c r="I56" s="16">
        <v>160000</v>
      </c>
      <c r="J56" s="16"/>
      <c r="K56" s="16"/>
      <c r="L56" s="16"/>
      <c r="M56" s="16">
        <v>160000</v>
      </c>
      <c r="N56" s="16"/>
      <c r="O56" s="16">
        <v>160000</v>
      </c>
      <c r="P56" s="16">
        <v>160000</v>
      </c>
      <c r="Q56" s="16">
        <v>160000</v>
      </c>
      <c r="R56" s="16">
        <v>160000</v>
      </c>
      <c r="S56" s="16"/>
      <c r="T56" s="16">
        <v>160000</v>
      </c>
      <c r="U56" s="16">
        <v>160000</v>
      </c>
      <c r="V56" s="16"/>
      <c r="W56" s="16">
        <v>160000</v>
      </c>
      <c r="X56" s="16">
        <v>160000</v>
      </c>
      <c r="Y56" s="16">
        <v>160000</v>
      </c>
      <c r="Z56" s="16">
        <v>160000</v>
      </c>
      <c r="AA56" s="16">
        <v>160000</v>
      </c>
      <c r="AB56" s="16"/>
      <c r="AC56" s="16"/>
      <c r="AD56" s="16">
        <v>160000</v>
      </c>
      <c r="AE56" s="16">
        <v>160000</v>
      </c>
      <c r="AF56" s="16"/>
      <c r="AG56" s="16"/>
      <c r="AH56" s="16"/>
      <c r="AI56" s="16">
        <v>160000</v>
      </c>
      <c r="AJ56" s="16"/>
      <c r="AK56" s="17"/>
      <c r="AL56" s="16"/>
      <c r="AM56" s="16"/>
      <c r="AN56" s="16"/>
      <c r="AO56" s="16"/>
    </row>
    <row r="57" spans="1:41" ht="15.75" customHeight="1" x14ac:dyDescent="0.6">
      <c r="A57" s="16" t="s">
        <v>50</v>
      </c>
      <c r="B57" s="16" t="s">
        <v>3</v>
      </c>
      <c r="C57" s="16" t="s">
        <v>32</v>
      </c>
      <c r="D57" s="16" t="s">
        <v>36</v>
      </c>
      <c r="E57" s="16"/>
      <c r="F57" s="16">
        <v>160000</v>
      </c>
      <c r="G57" s="16">
        <v>160000</v>
      </c>
      <c r="H57" s="16">
        <v>160000</v>
      </c>
      <c r="I57" s="16">
        <v>160000</v>
      </c>
      <c r="J57" s="16">
        <v>160000</v>
      </c>
      <c r="K57" s="16">
        <v>160000</v>
      </c>
      <c r="L57" s="16"/>
      <c r="M57" s="16"/>
      <c r="N57" s="16">
        <v>160000</v>
      </c>
      <c r="O57" s="16">
        <v>160000</v>
      </c>
      <c r="P57" s="16">
        <v>160000</v>
      </c>
      <c r="Q57" s="16">
        <v>160000</v>
      </c>
      <c r="R57" s="16">
        <v>160000</v>
      </c>
      <c r="S57" s="16">
        <v>160000</v>
      </c>
      <c r="T57" s="16">
        <v>160000</v>
      </c>
      <c r="U57" s="16">
        <v>160000</v>
      </c>
      <c r="V57" s="16">
        <v>160000</v>
      </c>
      <c r="W57" s="16">
        <v>160000</v>
      </c>
      <c r="X57" s="16">
        <v>160000</v>
      </c>
      <c r="Y57" s="16">
        <v>160000</v>
      </c>
      <c r="Z57" s="16">
        <v>160000</v>
      </c>
      <c r="AA57" s="16">
        <v>160000</v>
      </c>
      <c r="AB57" s="16">
        <v>160000</v>
      </c>
      <c r="AC57" s="16">
        <v>160000</v>
      </c>
      <c r="AD57" s="16">
        <v>160000</v>
      </c>
      <c r="AE57" s="16">
        <v>160000</v>
      </c>
      <c r="AF57" s="16">
        <v>160000</v>
      </c>
      <c r="AG57" s="16">
        <v>160000</v>
      </c>
      <c r="AH57" s="16"/>
      <c r="AI57" s="16">
        <v>160000</v>
      </c>
      <c r="AJ57" s="16"/>
      <c r="AK57" s="17"/>
      <c r="AL57" s="16"/>
      <c r="AM57" s="16"/>
      <c r="AN57" s="16"/>
      <c r="AO57" s="16"/>
    </row>
    <row r="58" spans="1:41" ht="15.75" customHeight="1" x14ac:dyDescent="0.6">
      <c r="A58" s="16" t="s">
        <v>50</v>
      </c>
      <c r="B58" s="16" t="s">
        <v>3</v>
      </c>
      <c r="C58" s="16" t="s">
        <v>32</v>
      </c>
      <c r="D58" s="16" t="s">
        <v>42</v>
      </c>
      <c r="E58" s="16"/>
      <c r="F58" s="16">
        <v>160000</v>
      </c>
      <c r="G58" s="16">
        <v>165000</v>
      </c>
      <c r="H58" s="16">
        <v>165000</v>
      </c>
      <c r="I58" s="16">
        <v>165000</v>
      </c>
      <c r="J58" s="16">
        <v>165000</v>
      </c>
      <c r="K58" s="16">
        <v>165000</v>
      </c>
      <c r="L58" s="16">
        <v>165000</v>
      </c>
      <c r="M58" s="16">
        <v>165000</v>
      </c>
      <c r="N58" s="16">
        <v>165000</v>
      </c>
      <c r="O58" s="16">
        <v>165000</v>
      </c>
      <c r="P58" s="16">
        <v>165000</v>
      </c>
      <c r="Q58" s="16">
        <v>165000</v>
      </c>
      <c r="R58" s="16">
        <v>165000</v>
      </c>
      <c r="S58" s="16">
        <v>165000</v>
      </c>
      <c r="T58" s="16">
        <v>165000</v>
      </c>
      <c r="U58" s="16">
        <v>165000</v>
      </c>
      <c r="V58" s="16">
        <v>165000</v>
      </c>
      <c r="W58" s="16">
        <v>165000</v>
      </c>
      <c r="X58" s="16">
        <v>165000</v>
      </c>
      <c r="Y58" s="16">
        <v>165000</v>
      </c>
      <c r="Z58" s="16">
        <v>165000</v>
      </c>
      <c r="AA58" s="16">
        <v>165000</v>
      </c>
      <c r="AB58" s="16">
        <v>165000</v>
      </c>
      <c r="AC58" s="16">
        <v>165000</v>
      </c>
      <c r="AD58" s="16">
        <v>165000</v>
      </c>
      <c r="AE58" s="16">
        <v>165000</v>
      </c>
      <c r="AF58" s="16">
        <v>165000</v>
      </c>
      <c r="AG58" s="16">
        <v>170000</v>
      </c>
      <c r="AH58" s="16"/>
      <c r="AI58" s="16">
        <v>165000</v>
      </c>
      <c r="AJ58" s="16"/>
      <c r="AK58" s="17"/>
      <c r="AL58" s="16"/>
      <c r="AM58" s="16"/>
      <c r="AN58" s="16"/>
      <c r="AO58" s="16"/>
    </row>
    <row r="59" spans="1:41" ht="15.75" customHeight="1" x14ac:dyDescent="0.6">
      <c r="A59" s="16" t="s">
        <v>50</v>
      </c>
      <c r="B59" s="16" t="s">
        <v>3</v>
      </c>
      <c r="C59" s="16" t="s">
        <v>32</v>
      </c>
      <c r="D59" s="16" t="s">
        <v>38</v>
      </c>
      <c r="E59" s="16"/>
      <c r="F59" s="16">
        <v>150000</v>
      </c>
      <c r="G59" s="16">
        <v>150000</v>
      </c>
      <c r="H59" s="16">
        <v>150000</v>
      </c>
      <c r="I59" s="16">
        <v>150000</v>
      </c>
      <c r="J59" s="16">
        <v>150000</v>
      </c>
      <c r="K59" s="16">
        <v>150000</v>
      </c>
      <c r="L59" s="16">
        <v>150000</v>
      </c>
      <c r="M59" s="16">
        <v>150000</v>
      </c>
      <c r="N59" s="16">
        <v>150000</v>
      </c>
      <c r="O59" s="16">
        <v>150000</v>
      </c>
      <c r="P59" s="16">
        <v>150000</v>
      </c>
      <c r="Q59" s="16">
        <v>150000</v>
      </c>
      <c r="R59" s="16">
        <v>150000</v>
      </c>
      <c r="S59" s="16">
        <v>150000</v>
      </c>
      <c r="T59" s="16">
        <v>150000</v>
      </c>
      <c r="U59" s="16">
        <v>150000</v>
      </c>
      <c r="V59" s="16">
        <v>150000</v>
      </c>
      <c r="W59" s="16">
        <v>150000</v>
      </c>
      <c r="X59" s="16">
        <v>150000</v>
      </c>
      <c r="Y59" s="16">
        <v>150000</v>
      </c>
      <c r="Z59" s="16">
        <v>150000</v>
      </c>
      <c r="AA59" s="16">
        <v>150000</v>
      </c>
      <c r="AB59" s="16">
        <v>150000</v>
      </c>
      <c r="AC59" s="16">
        <v>150000</v>
      </c>
      <c r="AD59" s="16">
        <v>150000</v>
      </c>
      <c r="AE59" s="16">
        <v>150000</v>
      </c>
      <c r="AF59" s="16">
        <v>150000</v>
      </c>
      <c r="AG59" s="16">
        <v>150000</v>
      </c>
      <c r="AH59" s="16"/>
      <c r="AI59" s="16">
        <v>150000</v>
      </c>
      <c r="AJ59" s="16"/>
      <c r="AK59" s="17"/>
      <c r="AL59" s="16"/>
      <c r="AM59" s="16"/>
      <c r="AN59" s="16"/>
      <c r="AO59" s="16"/>
    </row>
    <row r="60" spans="1:41" ht="15.75" customHeight="1" x14ac:dyDescent="0.6">
      <c r="A60" s="16" t="s">
        <v>50</v>
      </c>
      <c r="B60" s="16" t="s">
        <v>3</v>
      </c>
      <c r="C60" s="16" t="s">
        <v>32</v>
      </c>
      <c r="D60" s="16" t="s">
        <v>51</v>
      </c>
      <c r="E60" s="16"/>
      <c r="F60" s="16">
        <v>155000</v>
      </c>
      <c r="G60" s="16">
        <v>155000</v>
      </c>
      <c r="H60" s="16">
        <v>155000</v>
      </c>
      <c r="I60" s="16">
        <v>155000</v>
      </c>
      <c r="J60" s="16">
        <v>155000</v>
      </c>
      <c r="K60" s="16">
        <v>155000</v>
      </c>
      <c r="L60" s="16">
        <v>155000</v>
      </c>
      <c r="M60" s="16">
        <v>155000</v>
      </c>
      <c r="N60" s="16">
        <v>155000</v>
      </c>
      <c r="O60" s="16">
        <v>155000</v>
      </c>
      <c r="P60" s="16">
        <v>155000</v>
      </c>
      <c r="Q60" s="16">
        <v>155000</v>
      </c>
      <c r="R60" s="16">
        <v>155000</v>
      </c>
      <c r="S60" s="16">
        <v>155000</v>
      </c>
      <c r="T60" s="16">
        <v>155000</v>
      </c>
      <c r="U60" s="16">
        <v>155000</v>
      </c>
      <c r="V60" s="16">
        <v>155000</v>
      </c>
      <c r="W60" s="16">
        <v>155000</v>
      </c>
      <c r="X60" s="16">
        <v>155000</v>
      </c>
      <c r="Y60" s="16">
        <v>155000</v>
      </c>
      <c r="Z60" s="16">
        <v>155000</v>
      </c>
      <c r="AA60" s="16">
        <v>155000</v>
      </c>
      <c r="AB60" s="16">
        <v>155000</v>
      </c>
      <c r="AC60" s="16">
        <v>155000</v>
      </c>
      <c r="AD60" s="16">
        <v>155000</v>
      </c>
      <c r="AE60" s="16">
        <v>155000</v>
      </c>
      <c r="AF60" s="16">
        <v>155000</v>
      </c>
      <c r="AG60" s="16">
        <v>155000</v>
      </c>
      <c r="AH60" s="16"/>
      <c r="AI60" s="16">
        <v>155000</v>
      </c>
      <c r="AJ60" s="16"/>
      <c r="AK60" s="17"/>
      <c r="AL60" s="16"/>
      <c r="AM60" s="16"/>
      <c r="AN60" s="16"/>
      <c r="AO60" s="16"/>
    </row>
    <row r="61" spans="1:41" ht="15.75" customHeight="1" x14ac:dyDescent="0.6">
      <c r="A61" s="16" t="s">
        <v>50</v>
      </c>
      <c r="B61" s="16" t="s">
        <v>3</v>
      </c>
      <c r="C61" s="16" t="s">
        <v>32</v>
      </c>
      <c r="D61" s="16" t="s">
        <v>52</v>
      </c>
      <c r="E61" s="16"/>
      <c r="F61" s="16"/>
      <c r="G61" s="16"/>
      <c r="H61" s="16">
        <v>160000</v>
      </c>
      <c r="I61" s="16">
        <v>160000</v>
      </c>
      <c r="J61" s="16">
        <v>160000</v>
      </c>
      <c r="K61" s="16">
        <v>160000</v>
      </c>
      <c r="L61" s="16"/>
      <c r="M61" s="16">
        <v>160000</v>
      </c>
      <c r="N61" s="16">
        <v>160000</v>
      </c>
      <c r="O61" s="16">
        <v>160000</v>
      </c>
      <c r="P61" s="16">
        <v>160000</v>
      </c>
      <c r="Q61" s="16">
        <v>160000</v>
      </c>
      <c r="R61" s="16">
        <v>160000</v>
      </c>
      <c r="S61" s="16">
        <v>160000</v>
      </c>
      <c r="T61" s="16">
        <v>160000</v>
      </c>
      <c r="U61" s="16">
        <v>160000</v>
      </c>
      <c r="V61" s="16">
        <v>160000</v>
      </c>
      <c r="W61" s="16">
        <v>160000</v>
      </c>
      <c r="X61" s="16">
        <v>160000</v>
      </c>
      <c r="Y61" s="16">
        <v>160000</v>
      </c>
      <c r="Z61" s="16">
        <v>160000</v>
      </c>
      <c r="AA61" s="16">
        <v>160000</v>
      </c>
      <c r="AB61" s="16">
        <v>160000</v>
      </c>
      <c r="AC61" s="16">
        <v>160000</v>
      </c>
      <c r="AD61" s="16">
        <v>160000</v>
      </c>
      <c r="AE61" s="16">
        <v>160000</v>
      </c>
      <c r="AF61" s="16">
        <v>160000</v>
      </c>
      <c r="AG61" s="16">
        <v>160000</v>
      </c>
      <c r="AH61" s="16"/>
      <c r="AI61" s="16">
        <v>160000</v>
      </c>
      <c r="AJ61" s="16"/>
      <c r="AK61" s="17"/>
      <c r="AL61" s="16"/>
      <c r="AM61" s="16"/>
      <c r="AN61" s="16"/>
      <c r="AO61" s="16"/>
    </row>
    <row r="62" spans="1:41" ht="15.75" customHeight="1" x14ac:dyDescent="0.6">
      <c r="A62" s="19" t="s">
        <v>50</v>
      </c>
      <c r="B62" s="19" t="s">
        <v>48</v>
      </c>
      <c r="C62" s="19" t="s">
        <v>32</v>
      </c>
      <c r="D62" s="19" t="s">
        <v>33</v>
      </c>
      <c r="E62" s="20"/>
      <c r="F62" s="19">
        <v>44774</v>
      </c>
      <c r="G62" s="19">
        <v>44977</v>
      </c>
      <c r="H62" s="19">
        <v>44436</v>
      </c>
      <c r="I62" s="19">
        <v>46935</v>
      </c>
      <c r="J62" s="19">
        <v>44283</v>
      </c>
      <c r="K62" s="19">
        <v>44568</v>
      </c>
      <c r="L62" s="19">
        <v>44950</v>
      </c>
      <c r="M62" s="19">
        <v>44708</v>
      </c>
      <c r="N62" s="19">
        <v>44205</v>
      </c>
      <c r="O62" s="19">
        <v>43674</v>
      </c>
      <c r="P62" s="19">
        <v>43932</v>
      </c>
      <c r="Q62" s="19">
        <v>43512</v>
      </c>
      <c r="R62" s="19">
        <v>44227</v>
      </c>
      <c r="S62" s="19">
        <v>44267</v>
      </c>
      <c r="T62" s="19">
        <v>44200</v>
      </c>
      <c r="U62" s="19">
        <v>44244</v>
      </c>
      <c r="V62" s="19">
        <v>44487</v>
      </c>
      <c r="W62" s="19">
        <v>44717</v>
      </c>
      <c r="X62" s="19">
        <v>45422</v>
      </c>
      <c r="Y62" s="19">
        <v>45531</v>
      </c>
      <c r="Z62" s="19">
        <v>45277</v>
      </c>
      <c r="AA62" s="19">
        <v>45043</v>
      </c>
      <c r="AB62" s="19">
        <v>45489</v>
      </c>
      <c r="AC62" s="19">
        <v>45571</v>
      </c>
      <c r="AD62" s="19">
        <v>46064</v>
      </c>
      <c r="AE62" s="19">
        <v>46140</v>
      </c>
      <c r="AF62" s="19">
        <v>46681</v>
      </c>
      <c r="AG62" s="19">
        <v>46673</v>
      </c>
      <c r="AH62" s="19">
        <v>46681</v>
      </c>
      <c r="AI62" s="19">
        <v>46854</v>
      </c>
      <c r="AJ62" s="19"/>
      <c r="AK62" s="21">
        <f>AVERAGE(E62:AJ62)</f>
        <v>45084.066666666666</v>
      </c>
      <c r="AL62" s="19"/>
      <c r="AM62" s="19"/>
      <c r="AN62" s="19"/>
      <c r="AO62" s="19"/>
    </row>
    <row r="63" spans="1:41" ht="15.75" customHeight="1" x14ac:dyDescent="0.6">
      <c r="A63" s="19" t="s">
        <v>50</v>
      </c>
      <c r="B63" s="19" t="s">
        <v>48</v>
      </c>
      <c r="C63" s="19" t="s">
        <v>32</v>
      </c>
      <c r="D63" s="19" t="s">
        <v>40</v>
      </c>
      <c r="E63" s="20"/>
      <c r="F63" s="19"/>
      <c r="G63" s="19"/>
      <c r="H63" s="19"/>
      <c r="I63" s="19">
        <v>45000</v>
      </c>
      <c r="J63" s="19">
        <v>45000</v>
      </c>
      <c r="K63" s="19">
        <v>45000</v>
      </c>
      <c r="L63" s="19">
        <v>45000</v>
      </c>
      <c r="M63" s="19">
        <v>45000</v>
      </c>
      <c r="N63" s="19">
        <v>45000</v>
      </c>
      <c r="O63" s="19">
        <v>45000</v>
      </c>
      <c r="P63" s="19">
        <v>45000</v>
      </c>
      <c r="Q63" s="19">
        <v>45000</v>
      </c>
      <c r="R63" s="19">
        <v>45000</v>
      </c>
      <c r="S63" s="19">
        <v>45000</v>
      </c>
      <c r="T63" s="19">
        <v>45000</v>
      </c>
      <c r="U63" s="19">
        <v>45000</v>
      </c>
      <c r="V63" s="19">
        <v>45000</v>
      </c>
      <c r="W63" s="19">
        <v>45000</v>
      </c>
      <c r="X63" s="19">
        <v>50000</v>
      </c>
      <c r="Y63" s="19">
        <v>50000</v>
      </c>
      <c r="Z63" s="19">
        <v>50000</v>
      </c>
      <c r="AA63" s="19">
        <v>50000</v>
      </c>
      <c r="AB63" s="19">
        <v>50000</v>
      </c>
      <c r="AC63" s="19">
        <v>50000</v>
      </c>
      <c r="AD63" s="19">
        <v>50000</v>
      </c>
      <c r="AE63" s="19">
        <v>50000</v>
      </c>
      <c r="AF63" s="19">
        <v>50000</v>
      </c>
      <c r="AG63" s="19">
        <v>50000</v>
      </c>
      <c r="AH63" s="19"/>
      <c r="AI63" s="19"/>
      <c r="AJ63" s="19"/>
      <c r="AK63" s="21"/>
      <c r="AL63" s="19"/>
      <c r="AM63" s="19"/>
      <c r="AN63" s="19"/>
      <c r="AO63" s="19"/>
    </row>
    <row r="64" spans="1:41" ht="15.75" customHeight="1" x14ac:dyDescent="0.6">
      <c r="A64" s="19" t="s">
        <v>50</v>
      </c>
      <c r="B64" s="19" t="s">
        <v>48</v>
      </c>
      <c r="C64" s="19" t="s">
        <v>32</v>
      </c>
      <c r="D64" s="19" t="s">
        <v>39</v>
      </c>
      <c r="E64" s="20"/>
      <c r="F64" s="19">
        <v>50000</v>
      </c>
      <c r="G64" s="19">
        <v>50000</v>
      </c>
      <c r="H64" s="19"/>
      <c r="I64" s="19"/>
      <c r="J64" s="19"/>
      <c r="K64" s="19"/>
      <c r="L64" s="19">
        <v>50000</v>
      </c>
      <c r="M64" s="19">
        <v>50000</v>
      </c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>
        <v>50000</v>
      </c>
      <c r="Z64" s="19">
        <v>50000</v>
      </c>
      <c r="AA64" s="19"/>
      <c r="AB64" s="19">
        <v>50000</v>
      </c>
      <c r="AC64" s="19">
        <v>50000</v>
      </c>
      <c r="AD64" s="19">
        <v>50000</v>
      </c>
      <c r="AE64" s="19">
        <v>50000</v>
      </c>
      <c r="AF64" s="19">
        <v>50000</v>
      </c>
      <c r="AG64" s="19">
        <v>50000</v>
      </c>
      <c r="AH64" s="19"/>
      <c r="AI64" s="19">
        <v>50000</v>
      </c>
      <c r="AJ64" s="19"/>
      <c r="AK64" s="21"/>
      <c r="AL64" s="19"/>
      <c r="AM64" s="19"/>
      <c r="AN64" s="19"/>
      <c r="AO64" s="19"/>
    </row>
    <row r="65" spans="1:41" ht="15.75" customHeight="1" x14ac:dyDescent="0.6">
      <c r="A65" s="19" t="s">
        <v>50</v>
      </c>
      <c r="B65" s="19" t="s">
        <v>48</v>
      </c>
      <c r="C65" s="19" t="s">
        <v>32</v>
      </c>
      <c r="D65" s="19" t="s">
        <v>44</v>
      </c>
      <c r="E65" s="20"/>
      <c r="F65" s="19">
        <v>43000</v>
      </c>
      <c r="G65" s="19">
        <v>44000</v>
      </c>
      <c r="H65" s="19">
        <v>44000</v>
      </c>
      <c r="I65" s="19">
        <v>44000</v>
      </c>
      <c r="J65" s="19">
        <v>44000</v>
      </c>
      <c r="K65" s="19">
        <v>44000</v>
      </c>
      <c r="L65" s="19">
        <v>43800</v>
      </c>
      <c r="M65" s="19">
        <v>44000</v>
      </c>
      <c r="N65" s="19">
        <v>43500</v>
      </c>
      <c r="O65" s="19">
        <v>43000</v>
      </c>
      <c r="P65" s="19">
        <v>44000</v>
      </c>
      <c r="Q65" s="19">
        <v>44000</v>
      </c>
      <c r="R65" s="19">
        <v>44000</v>
      </c>
      <c r="S65" s="19">
        <v>44000</v>
      </c>
      <c r="T65" s="19">
        <v>45333</v>
      </c>
      <c r="U65" s="19">
        <v>44000</v>
      </c>
      <c r="V65" s="19">
        <v>44000</v>
      </c>
      <c r="W65" s="19">
        <v>45333</v>
      </c>
      <c r="X65" s="19">
        <v>47000</v>
      </c>
      <c r="Y65" s="19">
        <v>44000</v>
      </c>
      <c r="Z65" s="19">
        <v>44000</v>
      </c>
      <c r="AA65" s="19">
        <v>44000</v>
      </c>
      <c r="AB65" s="19">
        <v>44000</v>
      </c>
      <c r="AC65" s="19">
        <v>44500</v>
      </c>
      <c r="AD65" s="19">
        <v>44500</v>
      </c>
      <c r="AE65" s="19">
        <v>44800</v>
      </c>
      <c r="AF65" s="19">
        <v>44500</v>
      </c>
      <c r="AG65" s="19">
        <v>44800</v>
      </c>
      <c r="AH65" s="19"/>
      <c r="AI65" s="19">
        <v>45333</v>
      </c>
      <c r="AJ65" s="19"/>
      <c r="AK65" s="21"/>
      <c r="AL65" s="19"/>
      <c r="AM65" s="19"/>
      <c r="AN65" s="19"/>
      <c r="AO65" s="19"/>
    </row>
    <row r="66" spans="1:41" ht="15.75" customHeight="1" x14ac:dyDescent="0.6">
      <c r="A66" s="19" t="s">
        <v>50</v>
      </c>
      <c r="B66" s="19" t="s">
        <v>48</v>
      </c>
      <c r="C66" s="19" t="s">
        <v>32</v>
      </c>
      <c r="D66" s="19" t="s">
        <v>37</v>
      </c>
      <c r="E66" s="20"/>
      <c r="F66" s="19">
        <v>46800</v>
      </c>
      <c r="G66" s="19">
        <v>46600</v>
      </c>
      <c r="H66" s="19">
        <v>50800</v>
      </c>
      <c r="I66" s="19">
        <v>50600</v>
      </c>
      <c r="J66" s="19">
        <v>50800</v>
      </c>
      <c r="K66" s="19">
        <v>49400</v>
      </c>
      <c r="L66" s="19">
        <v>49200</v>
      </c>
      <c r="M66" s="19">
        <v>49200</v>
      </c>
      <c r="N66" s="19">
        <v>49200</v>
      </c>
      <c r="O66" s="19">
        <v>49200</v>
      </c>
      <c r="P66" s="19">
        <v>53333</v>
      </c>
      <c r="Q66" s="19">
        <v>47200</v>
      </c>
      <c r="R66" s="19">
        <v>47000</v>
      </c>
      <c r="S66" s="19">
        <v>46800</v>
      </c>
      <c r="T66" s="19">
        <v>46800</v>
      </c>
      <c r="U66" s="19">
        <v>47500</v>
      </c>
      <c r="V66" s="19">
        <v>48000</v>
      </c>
      <c r="W66" s="19">
        <v>48000</v>
      </c>
      <c r="X66" s="19">
        <v>49000</v>
      </c>
      <c r="Y66" s="19">
        <v>48800</v>
      </c>
      <c r="Z66" s="19">
        <v>48800</v>
      </c>
      <c r="AA66" s="19">
        <v>48800</v>
      </c>
      <c r="AB66" s="19">
        <v>48600</v>
      </c>
      <c r="AC66" s="19">
        <v>48600</v>
      </c>
      <c r="AD66" s="19">
        <v>48600</v>
      </c>
      <c r="AE66" s="19">
        <v>48400</v>
      </c>
      <c r="AF66" s="19">
        <v>50000</v>
      </c>
      <c r="AG66" s="19">
        <v>48600</v>
      </c>
      <c r="AH66" s="19"/>
      <c r="AI66" s="19">
        <v>48600</v>
      </c>
      <c r="AJ66" s="19"/>
      <c r="AK66" s="21"/>
      <c r="AL66" s="19"/>
      <c r="AM66" s="19"/>
      <c r="AN66" s="19"/>
      <c r="AO66" s="19"/>
    </row>
    <row r="67" spans="1:41" ht="15.75" customHeight="1" x14ac:dyDescent="0.6">
      <c r="A67" s="19" t="s">
        <v>50</v>
      </c>
      <c r="B67" s="19" t="s">
        <v>48</v>
      </c>
      <c r="C67" s="19" t="s">
        <v>32</v>
      </c>
      <c r="D67" s="19" t="s">
        <v>45</v>
      </c>
      <c r="E67" s="20"/>
      <c r="F67" s="19">
        <v>40000</v>
      </c>
      <c r="G67" s="19">
        <v>42000</v>
      </c>
      <c r="H67" s="19">
        <v>42000</v>
      </c>
      <c r="I67" s="19">
        <v>42000</v>
      </c>
      <c r="J67" s="19">
        <v>42000</v>
      </c>
      <c r="K67" s="19">
        <v>42000</v>
      </c>
      <c r="L67" s="19">
        <v>45000</v>
      </c>
      <c r="M67" s="19">
        <v>45000</v>
      </c>
      <c r="N67" s="19">
        <v>45000</v>
      </c>
      <c r="O67" s="19">
        <v>45000</v>
      </c>
      <c r="P67" s="19">
        <v>45000</v>
      </c>
      <c r="Q67" s="19">
        <v>45000</v>
      </c>
      <c r="R67" s="19">
        <v>46000</v>
      </c>
      <c r="S67" s="19">
        <v>46000</v>
      </c>
      <c r="T67" s="19">
        <v>46000</v>
      </c>
      <c r="U67" s="19">
        <v>46000</v>
      </c>
      <c r="V67" s="19">
        <v>46000</v>
      </c>
      <c r="W67" s="19">
        <v>46000</v>
      </c>
      <c r="X67" s="19">
        <v>45000</v>
      </c>
      <c r="Y67" s="19">
        <v>45000</v>
      </c>
      <c r="Z67" s="19">
        <v>45000</v>
      </c>
      <c r="AA67" s="19">
        <v>45000</v>
      </c>
      <c r="AB67" s="19">
        <v>45000</v>
      </c>
      <c r="AC67" s="19">
        <v>45000</v>
      </c>
      <c r="AD67" s="19">
        <v>45000</v>
      </c>
      <c r="AE67" s="19">
        <v>45000</v>
      </c>
      <c r="AF67" s="19">
        <v>48000</v>
      </c>
      <c r="AG67" s="19">
        <v>48000</v>
      </c>
      <c r="AH67" s="19"/>
      <c r="AI67" s="19">
        <v>48000</v>
      </c>
      <c r="AJ67" s="19"/>
      <c r="AK67" s="21"/>
      <c r="AL67" s="19"/>
      <c r="AM67" s="19"/>
      <c r="AN67" s="19"/>
      <c r="AO67" s="19"/>
    </row>
    <row r="68" spans="1:41" ht="15.75" customHeight="1" x14ac:dyDescent="0.6">
      <c r="A68" s="19" t="s">
        <v>50</v>
      </c>
      <c r="B68" s="19" t="s">
        <v>48</v>
      </c>
      <c r="C68" s="19" t="s">
        <v>32</v>
      </c>
      <c r="D68" s="19" t="s">
        <v>41</v>
      </c>
      <c r="E68" s="20"/>
      <c r="F68" s="19"/>
      <c r="G68" s="19">
        <v>40000</v>
      </c>
      <c r="H68" s="19">
        <v>42333</v>
      </c>
      <c r="I68" s="19">
        <v>42333</v>
      </c>
      <c r="J68" s="19">
        <v>42333</v>
      </c>
      <c r="K68" s="19">
        <v>41667</v>
      </c>
      <c r="L68" s="19">
        <v>42333</v>
      </c>
      <c r="M68" s="19"/>
      <c r="N68" s="19">
        <v>38000</v>
      </c>
      <c r="O68" s="19">
        <v>38333</v>
      </c>
      <c r="P68" s="19">
        <v>40000</v>
      </c>
      <c r="Q68" s="19">
        <v>40667</v>
      </c>
      <c r="R68" s="19">
        <v>40000</v>
      </c>
      <c r="S68" s="19">
        <v>42667</v>
      </c>
      <c r="T68" s="19">
        <v>40333</v>
      </c>
      <c r="U68" s="19">
        <v>40333</v>
      </c>
      <c r="V68" s="19">
        <v>40000</v>
      </c>
      <c r="W68" s="19">
        <v>40333</v>
      </c>
      <c r="X68" s="19">
        <v>43667</v>
      </c>
      <c r="Y68" s="19">
        <v>43000</v>
      </c>
      <c r="Z68" s="19">
        <v>43000</v>
      </c>
      <c r="AA68" s="19">
        <v>42333</v>
      </c>
      <c r="AB68" s="19">
        <v>41000</v>
      </c>
      <c r="AC68" s="19">
        <v>38000</v>
      </c>
      <c r="AD68" s="19">
        <v>40333</v>
      </c>
      <c r="AE68" s="19">
        <v>40000</v>
      </c>
      <c r="AF68" s="19">
        <v>43667</v>
      </c>
      <c r="AG68" s="19">
        <v>43667</v>
      </c>
      <c r="AH68" s="19"/>
      <c r="AI68" s="19">
        <v>45333</v>
      </c>
      <c r="AJ68" s="19"/>
      <c r="AK68" s="21"/>
      <c r="AL68" s="19"/>
      <c r="AM68" s="19"/>
      <c r="AN68" s="19"/>
      <c r="AO68" s="19"/>
    </row>
    <row r="69" spans="1:41" ht="15.75" customHeight="1" x14ac:dyDescent="0.6">
      <c r="A69" s="19" t="s">
        <v>50</v>
      </c>
      <c r="B69" s="19" t="s">
        <v>48</v>
      </c>
      <c r="C69" s="19" t="s">
        <v>32</v>
      </c>
      <c r="D69" s="19" t="s">
        <v>43</v>
      </c>
      <c r="E69" s="20"/>
      <c r="F69" s="19"/>
      <c r="G69" s="19">
        <v>50000</v>
      </c>
      <c r="H69" s="19">
        <v>50000</v>
      </c>
      <c r="I69" s="19">
        <v>50000</v>
      </c>
      <c r="J69" s="19">
        <v>50000</v>
      </c>
      <c r="K69" s="19">
        <v>50000</v>
      </c>
      <c r="L69" s="19">
        <v>45000</v>
      </c>
      <c r="M69" s="19">
        <v>45000</v>
      </c>
      <c r="N69" s="19">
        <v>45000</v>
      </c>
      <c r="O69" s="19">
        <v>38000</v>
      </c>
      <c r="P69" s="19">
        <v>45000</v>
      </c>
      <c r="Q69" s="19">
        <v>45000</v>
      </c>
      <c r="R69" s="19">
        <v>45000</v>
      </c>
      <c r="S69" s="19">
        <v>40000</v>
      </c>
      <c r="T69" s="19">
        <v>40000</v>
      </c>
      <c r="U69" s="19">
        <v>40000</v>
      </c>
      <c r="V69" s="19">
        <v>40000</v>
      </c>
      <c r="W69" s="19">
        <v>40000</v>
      </c>
      <c r="X69" s="19">
        <v>40000</v>
      </c>
      <c r="Y69" s="19">
        <v>45000</v>
      </c>
      <c r="Z69" s="19">
        <v>45000</v>
      </c>
      <c r="AA69" s="19">
        <v>45000</v>
      </c>
      <c r="AB69" s="19">
        <v>45000</v>
      </c>
      <c r="AC69" s="19">
        <v>45000</v>
      </c>
      <c r="AD69" s="19">
        <v>45000</v>
      </c>
      <c r="AE69" s="19">
        <v>45000</v>
      </c>
      <c r="AF69" s="19">
        <v>45000</v>
      </c>
      <c r="AG69" s="19">
        <v>42000</v>
      </c>
      <c r="AH69" s="19"/>
      <c r="AI69" s="19">
        <v>45000</v>
      </c>
      <c r="AJ69" s="19"/>
      <c r="AK69" s="21"/>
      <c r="AL69" s="19"/>
      <c r="AM69" s="19"/>
      <c r="AN69" s="19"/>
      <c r="AO69" s="19"/>
    </row>
    <row r="70" spans="1:41" ht="15.75" customHeight="1" x14ac:dyDescent="0.6">
      <c r="A70" s="19" t="s">
        <v>50</v>
      </c>
      <c r="B70" s="19" t="s">
        <v>48</v>
      </c>
      <c r="C70" s="19" t="s">
        <v>32</v>
      </c>
      <c r="D70" s="19" t="s">
        <v>35</v>
      </c>
      <c r="E70" s="20"/>
      <c r="F70" s="19">
        <v>37000</v>
      </c>
      <c r="G70" s="19">
        <v>37500</v>
      </c>
      <c r="H70" s="19">
        <v>37500</v>
      </c>
      <c r="I70" s="19">
        <v>37667</v>
      </c>
      <c r="J70" s="19">
        <v>37667</v>
      </c>
      <c r="K70" s="19">
        <v>40000</v>
      </c>
      <c r="L70" s="19">
        <v>39000</v>
      </c>
      <c r="M70" s="19">
        <v>39333</v>
      </c>
      <c r="N70" s="19">
        <v>40000</v>
      </c>
      <c r="O70" s="19">
        <v>45000</v>
      </c>
      <c r="P70" s="19">
        <v>38333</v>
      </c>
      <c r="Q70" s="19">
        <v>38333</v>
      </c>
      <c r="R70" s="19">
        <v>37667</v>
      </c>
      <c r="S70" s="19">
        <v>39333</v>
      </c>
      <c r="T70" s="19">
        <v>39333</v>
      </c>
      <c r="U70" s="19">
        <v>39333</v>
      </c>
      <c r="V70" s="19">
        <v>40333</v>
      </c>
      <c r="W70" s="19">
        <v>41333</v>
      </c>
      <c r="X70" s="19">
        <v>41333</v>
      </c>
      <c r="Y70" s="19">
        <v>39667</v>
      </c>
      <c r="Z70" s="19">
        <v>39667</v>
      </c>
      <c r="AA70" s="19">
        <v>39667</v>
      </c>
      <c r="AB70" s="19">
        <v>39667</v>
      </c>
      <c r="AC70" s="19">
        <v>41333</v>
      </c>
      <c r="AD70" s="19">
        <v>42000</v>
      </c>
      <c r="AE70" s="19">
        <v>42000</v>
      </c>
      <c r="AF70" s="19">
        <v>42667</v>
      </c>
      <c r="AG70" s="19">
        <v>44000</v>
      </c>
      <c r="AH70" s="19"/>
      <c r="AI70" s="19"/>
      <c r="AJ70" s="19"/>
      <c r="AK70" s="21"/>
      <c r="AL70" s="19"/>
      <c r="AM70" s="19"/>
      <c r="AN70" s="19"/>
      <c r="AO70" s="19"/>
    </row>
    <row r="71" spans="1:41" ht="15.75" customHeight="1" x14ac:dyDescent="0.6">
      <c r="A71" s="19" t="s">
        <v>50</v>
      </c>
      <c r="B71" s="19" t="s">
        <v>48</v>
      </c>
      <c r="C71" s="19" t="s">
        <v>32</v>
      </c>
      <c r="D71" s="19" t="s">
        <v>34</v>
      </c>
      <c r="E71" s="20"/>
      <c r="F71" s="19"/>
      <c r="G71" s="19">
        <v>45000</v>
      </c>
      <c r="H71" s="19">
        <v>44000</v>
      </c>
      <c r="I71" s="19">
        <v>42000</v>
      </c>
      <c r="J71" s="19"/>
      <c r="K71" s="19"/>
      <c r="L71" s="19"/>
      <c r="M71" s="19">
        <v>40000</v>
      </c>
      <c r="N71" s="19"/>
      <c r="O71" s="19">
        <v>38000</v>
      </c>
      <c r="P71" s="19">
        <v>38000</v>
      </c>
      <c r="Q71" s="19">
        <v>44000</v>
      </c>
      <c r="R71" s="19">
        <v>44000</v>
      </c>
      <c r="S71" s="19">
        <v>44000</v>
      </c>
      <c r="T71" s="19">
        <v>42000</v>
      </c>
      <c r="U71" s="19">
        <v>44000</v>
      </c>
      <c r="V71" s="19"/>
      <c r="W71" s="19">
        <v>40000</v>
      </c>
      <c r="X71" s="19">
        <v>40000</v>
      </c>
      <c r="Y71" s="19">
        <v>39000</v>
      </c>
      <c r="Z71" s="19">
        <v>39000</v>
      </c>
      <c r="AA71" s="19">
        <v>38000</v>
      </c>
      <c r="AB71" s="19"/>
      <c r="AC71" s="19"/>
      <c r="AD71" s="19">
        <v>38000</v>
      </c>
      <c r="AE71" s="19">
        <v>39000</v>
      </c>
      <c r="AF71" s="19"/>
      <c r="AG71" s="19">
        <v>40000</v>
      </c>
      <c r="AH71" s="19"/>
      <c r="AI71" s="19">
        <v>44000</v>
      </c>
      <c r="AJ71" s="19"/>
      <c r="AK71" s="21"/>
      <c r="AL71" s="19"/>
      <c r="AM71" s="19"/>
      <c r="AN71" s="19"/>
      <c r="AO71" s="19"/>
    </row>
    <row r="72" spans="1:41" ht="15.75" customHeight="1" x14ac:dyDescent="0.6">
      <c r="A72" s="19" t="s">
        <v>50</v>
      </c>
      <c r="B72" s="19" t="s">
        <v>48</v>
      </c>
      <c r="C72" s="19" t="s">
        <v>32</v>
      </c>
      <c r="D72" s="19" t="s">
        <v>36</v>
      </c>
      <c r="E72" s="20"/>
      <c r="F72" s="19">
        <v>45000</v>
      </c>
      <c r="G72" s="19">
        <v>45000</v>
      </c>
      <c r="H72" s="19">
        <v>45000</v>
      </c>
      <c r="I72" s="19">
        <v>83000</v>
      </c>
      <c r="J72" s="19">
        <v>45000</v>
      </c>
      <c r="K72" s="19">
        <v>45000</v>
      </c>
      <c r="L72" s="19"/>
      <c r="M72" s="19">
        <v>45000</v>
      </c>
      <c r="N72" s="19">
        <v>45000</v>
      </c>
      <c r="O72" s="19">
        <v>45000</v>
      </c>
      <c r="P72" s="19">
        <v>45000</v>
      </c>
      <c r="Q72" s="19">
        <v>45000</v>
      </c>
      <c r="R72" s="19">
        <v>45000</v>
      </c>
      <c r="S72" s="19">
        <v>45000</v>
      </c>
      <c r="T72" s="19">
        <v>45000</v>
      </c>
      <c r="U72" s="19">
        <v>45000</v>
      </c>
      <c r="V72" s="19">
        <v>45000</v>
      </c>
      <c r="W72" s="19">
        <v>45000</v>
      </c>
      <c r="X72" s="19"/>
      <c r="Y72" s="19">
        <v>45000</v>
      </c>
      <c r="Z72" s="19">
        <v>45000</v>
      </c>
      <c r="AA72" s="19">
        <v>45000</v>
      </c>
      <c r="AB72" s="19">
        <v>45000</v>
      </c>
      <c r="AC72" s="19">
        <v>45000</v>
      </c>
      <c r="AD72" s="19">
        <v>45000</v>
      </c>
      <c r="AE72" s="19">
        <v>45000</v>
      </c>
      <c r="AF72" s="19">
        <v>45000</v>
      </c>
      <c r="AG72" s="19">
        <v>45000</v>
      </c>
      <c r="AH72" s="19"/>
      <c r="AI72" s="19">
        <v>45000</v>
      </c>
      <c r="AJ72" s="19"/>
      <c r="AK72" s="21"/>
      <c r="AL72" s="19"/>
      <c r="AM72" s="19"/>
      <c r="AN72" s="19"/>
      <c r="AO72" s="19"/>
    </row>
    <row r="73" spans="1:41" ht="15.75" customHeight="1" x14ac:dyDescent="0.6">
      <c r="A73" s="19" t="s">
        <v>50</v>
      </c>
      <c r="B73" s="19" t="s">
        <v>48</v>
      </c>
      <c r="C73" s="19" t="s">
        <v>32</v>
      </c>
      <c r="D73" s="19" t="s">
        <v>42</v>
      </c>
      <c r="E73" s="20"/>
      <c r="F73" s="19">
        <v>47500</v>
      </c>
      <c r="G73" s="19">
        <v>48333</v>
      </c>
      <c r="H73" s="19">
        <v>48333</v>
      </c>
      <c r="I73" s="19">
        <v>48333</v>
      </c>
      <c r="J73" s="19">
        <v>48333</v>
      </c>
      <c r="K73" s="19">
        <v>48333</v>
      </c>
      <c r="L73" s="19">
        <v>48333</v>
      </c>
      <c r="M73" s="19">
        <v>48333</v>
      </c>
      <c r="N73" s="19">
        <v>48333</v>
      </c>
      <c r="O73" s="19">
        <v>48333</v>
      </c>
      <c r="P73" s="19">
        <v>48333</v>
      </c>
      <c r="Q73" s="19">
        <v>48333</v>
      </c>
      <c r="R73" s="19">
        <v>48333</v>
      </c>
      <c r="S73" s="19">
        <v>48333</v>
      </c>
      <c r="T73" s="19">
        <v>48333</v>
      </c>
      <c r="U73" s="19">
        <v>48333</v>
      </c>
      <c r="V73" s="19">
        <v>48333</v>
      </c>
      <c r="W73" s="19">
        <v>48333</v>
      </c>
      <c r="X73" s="19">
        <v>48333</v>
      </c>
      <c r="Y73" s="19">
        <v>48333</v>
      </c>
      <c r="Z73" s="19">
        <v>48333</v>
      </c>
      <c r="AA73" s="19">
        <v>48333</v>
      </c>
      <c r="AB73" s="19">
        <v>48333</v>
      </c>
      <c r="AC73" s="19">
        <v>48333</v>
      </c>
      <c r="AD73" s="19">
        <v>50333</v>
      </c>
      <c r="AE73" s="19">
        <v>50333</v>
      </c>
      <c r="AF73" s="19">
        <v>50333</v>
      </c>
      <c r="AG73" s="19">
        <v>50333</v>
      </c>
      <c r="AH73" s="19"/>
      <c r="AI73" s="19">
        <v>50333</v>
      </c>
      <c r="AJ73" s="19"/>
      <c r="AK73" s="21"/>
      <c r="AL73" s="19"/>
      <c r="AM73" s="19"/>
      <c r="AN73" s="19"/>
      <c r="AO73" s="19"/>
    </row>
    <row r="74" spans="1:41" ht="15.75" customHeight="1" x14ac:dyDescent="0.6">
      <c r="A74" s="19" t="s">
        <v>50</v>
      </c>
      <c r="B74" s="19" t="s">
        <v>48</v>
      </c>
      <c r="C74" s="19" t="s">
        <v>32</v>
      </c>
      <c r="D74" s="19" t="s">
        <v>38</v>
      </c>
      <c r="E74" s="20"/>
      <c r="F74" s="19">
        <v>44250</v>
      </c>
      <c r="G74" s="19">
        <v>445000</v>
      </c>
      <c r="H74" s="19">
        <v>44000</v>
      </c>
      <c r="I74" s="19">
        <v>44500</v>
      </c>
      <c r="J74" s="19">
        <v>44500</v>
      </c>
      <c r="K74" s="19">
        <v>46333</v>
      </c>
      <c r="L74" s="19">
        <v>45750</v>
      </c>
      <c r="M74" s="19">
        <v>46333</v>
      </c>
      <c r="N74" s="19">
        <v>46333</v>
      </c>
      <c r="O74" s="19">
        <v>46333</v>
      </c>
      <c r="P74" s="19">
        <v>46333</v>
      </c>
      <c r="Q74" s="19">
        <v>44000</v>
      </c>
      <c r="R74" s="19">
        <v>45667</v>
      </c>
      <c r="S74" s="19">
        <v>45667</v>
      </c>
      <c r="T74" s="19">
        <v>44000</v>
      </c>
      <c r="U74" s="19">
        <v>45667</v>
      </c>
      <c r="V74" s="19">
        <v>45667</v>
      </c>
      <c r="W74" s="19">
        <v>44833</v>
      </c>
      <c r="X74" s="19">
        <v>44833</v>
      </c>
      <c r="Y74" s="19">
        <v>44833</v>
      </c>
      <c r="Z74" s="19">
        <v>44833</v>
      </c>
      <c r="AA74" s="19">
        <v>44833</v>
      </c>
      <c r="AB74" s="19">
        <v>44833</v>
      </c>
      <c r="AC74" s="19">
        <v>46000</v>
      </c>
      <c r="AD74" s="19">
        <v>47500</v>
      </c>
      <c r="AE74" s="19">
        <v>47500</v>
      </c>
      <c r="AF74" s="19">
        <v>47500</v>
      </c>
      <c r="AG74" s="19">
        <v>47500</v>
      </c>
      <c r="AH74" s="19"/>
      <c r="AI74" s="19">
        <v>47250</v>
      </c>
      <c r="AJ74" s="19"/>
      <c r="AK74" s="21"/>
      <c r="AL74" s="19"/>
      <c r="AM74" s="19"/>
      <c r="AN74" s="19"/>
      <c r="AO74" s="19"/>
    </row>
    <row r="75" spans="1:41" ht="15.75" customHeight="1" x14ac:dyDescent="0.6">
      <c r="A75" s="19" t="s">
        <v>50</v>
      </c>
      <c r="B75" s="19" t="s">
        <v>48</v>
      </c>
      <c r="C75" s="19" t="s">
        <v>32</v>
      </c>
      <c r="D75" s="19" t="s">
        <v>51</v>
      </c>
      <c r="E75" s="20"/>
      <c r="F75" s="19">
        <v>43500</v>
      </c>
      <c r="G75" s="19">
        <v>43500</v>
      </c>
      <c r="H75" s="19">
        <v>41000</v>
      </c>
      <c r="I75" s="19">
        <v>42000</v>
      </c>
      <c r="J75" s="19">
        <v>41000</v>
      </c>
      <c r="K75" s="19">
        <v>40000</v>
      </c>
      <c r="L75" s="19">
        <v>40000</v>
      </c>
      <c r="M75" s="19">
        <v>39000</v>
      </c>
      <c r="N75" s="19">
        <v>39000</v>
      </c>
      <c r="O75" s="19">
        <v>39000</v>
      </c>
      <c r="P75" s="19">
        <v>40000</v>
      </c>
      <c r="Q75" s="19">
        <v>40000</v>
      </c>
      <c r="R75" s="19">
        <v>42500</v>
      </c>
      <c r="S75" s="19">
        <v>43500</v>
      </c>
      <c r="T75" s="19">
        <v>43500</v>
      </c>
      <c r="U75" s="19">
        <v>43500</v>
      </c>
      <c r="V75" s="19">
        <v>43500</v>
      </c>
      <c r="W75" s="19">
        <v>45000</v>
      </c>
      <c r="X75" s="19">
        <v>44000</v>
      </c>
      <c r="Y75" s="19">
        <v>44000</v>
      </c>
      <c r="Z75" s="19">
        <v>44000</v>
      </c>
      <c r="AA75" s="19">
        <v>44000</v>
      </c>
      <c r="AB75" s="19">
        <v>44000</v>
      </c>
      <c r="AC75" s="19">
        <v>44000</v>
      </c>
      <c r="AD75" s="19">
        <v>47000</v>
      </c>
      <c r="AE75" s="19">
        <v>47500</v>
      </c>
      <c r="AF75" s="19">
        <v>47500</v>
      </c>
      <c r="AG75" s="19">
        <v>47500</v>
      </c>
      <c r="AH75" s="19"/>
      <c r="AI75" s="19">
        <v>46500</v>
      </c>
      <c r="AJ75" s="19"/>
      <c r="AK75" s="21"/>
      <c r="AL75" s="19"/>
      <c r="AM75" s="19"/>
      <c r="AN75" s="19"/>
      <c r="AO75" s="19"/>
    </row>
    <row r="76" spans="1:41" ht="15.75" customHeight="1" x14ac:dyDescent="0.6">
      <c r="A76" s="19" t="s">
        <v>50</v>
      </c>
      <c r="B76" s="19" t="s">
        <v>48</v>
      </c>
      <c r="C76" s="19" t="s">
        <v>32</v>
      </c>
      <c r="D76" s="19" t="s">
        <v>52</v>
      </c>
      <c r="E76" s="20"/>
      <c r="F76" s="19"/>
      <c r="G76" s="19">
        <v>43000</v>
      </c>
      <c r="H76" s="19">
        <v>42500</v>
      </c>
      <c r="I76" s="19">
        <v>42500</v>
      </c>
      <c r="J76" s="19">
        <v>41667</v>
      </c>
      <c r="K76" s="19">
        <v>43000</v>
      </c>
      <c r="L76" s="19"/>
      <c r="M76" s="19">
        <v>41500</v>
      </c>
      <c r="N76" s="19">
        <v>41333</v>
      </c>
      <c r="O76" s="19">
        <v>42000</v>
      </c>
      <c r="P76" s="19">
        <v>42000</v>
      </c>
      <c r="Q76" s="19">
        <v>42000</v>
      </c>
      <c r="R76" s="19">
        <v>42000</v>
      </c>
      <c r="S76" s="19">
        <v>42000</v>
      </c>
      <c r="T76" s="19">
        <v>45000</v>
      </c>
      <c r="U76" s="19">
        <v>42500</v>
      </c>
      <c r="V76" s="19">
        <v>44000</v>
      </c>
      <c r="W76" s="19">
        <v>44500</v>
      </c>
      <c r="X76" s="19">
        <v>44750</v>
      </c>
      <c r="Y76" s="19">
        <v>44333</v>
      </c>
      <c r="Z76" s="19">
        <v>44333</v>
      </c>
      <c r="AA76" s="19">
        <v>44750</v>
      </c>
      <c r="AB76" s="19">
        <v>47000</v>
      </c>
      <c r="AC76" s="19">
        <v>44000</v>
      </c>
      <c r="AD76" s="19">
        <v>44667</v>
      </c>
      <c r="AE76" s="19">
        <v>44500</v>
      </c>
      <c r="AF76" s="19">
        <v>44500</v>
      </c>
      <c r="AG76" s="19">
        <v>44333</v>
      </c>
      <c r="AH76" s="19"/>
      <c r="AI76" s="19">
        <v>44000</v>
      </c>
      <c r="AJ76" s="19"/>
      <c r="AK76" s="21"/>
      <c r="AL76" s="19"/>
      <c r="AM76" s="19"/>
      <c r="AN76" s="19"/>
      <c r="AO76" s="19"/>
    </row>
    <row r="77" spans="1:41" ht="15.75" customHeight="1" x14ac:dyDescent="0.6">
      <c r="A77" s="22" t="s">
        <v>50</v>
      </c>
      <c r="B77" s="22" t="s">
        <v>49</v>
      </c>
      <c r="C77" s="22" t="s">
        <v>32</v>
      </c>
      <c r="D77" s="22" t="s">
        <v>33</v>
      </c>
      <c r="E77" s="16"/>
      <c r="F77" s="22">
        <v>35596</v>
      </c>
      <c r="G77" s="22">
        <v>35416</v>
      </c>
      <c r="H77" s="22">
        <v>35302</v>
      </c>
      <c r="I77" s="22">
        <v>35080</v>
      </c>
      <c r="J77" s="22">
        <v>35058</v>
      </c>
      <c r="K77" s="22">
        <v>35141</v>
      </c>
      <c r="L77" s="22">
        <v>35580</v>
      </c>
      <c r="M77" s="22">
        <v>34049</v>
      </c>
      <c r="N77" s="22">
        <v>33943</v>
      </c>
      <c r="O77" s="22">
        <v>33995</v>
      </c>
      <c r="P77" s="22">
        <v>34170</v>
      </c>
      <c r="Q77" s="22">
        <v>34125</v>
      </c>
      <c r="R77" s="22">
        <v>34173</v>
      </c>
      <c r="S77" s="22">
        <v>33961</v>
      </c>
      <c r="T77" s="22">
        <v>33929</v>
      </c>
      <c r="U77" s="22">
        <v>33938</v>
      </c>
      <c r="V77" s="22">
        <v>34109</v>
      </c>
      <c r="W77" s="22">
        <v>33688</v>
      </c>
      <c r="X77" s="22">
        <v>34393</v>
      </c>
      <c r="Y77" s="22">
        <v>33995</v>
      </c>
      <c r="Z77" s="22">
        <v>34330</v>
      </c>
      <c r="AA77" s="22">
        <v>33531</v>
      </c>
      <c r="AB77" s="22">
        <v>33853</v>
      </c>
      <c r="AC77" s="22">
        <v>33754</v>
      </c>
      <c r="AD77" s="22">
        <v>33648</v>
      </c>
      <c r="AE77" s="23">
        <v>33650</v>
      </c>
      <c r="AF77" s="22">
        <v>33683</v>
      </c>
      <c r="AG77" s="22">
        <v>33809</v>
      </c>
      <c r="AH77" s="22">
        <v>33898</v>
      </c>
      <c r="AI77" s="22">
        <v>33869</v>
      </c>
      <c r="AJ77" s="22"/>
      <c r="AK77" s="24">
        <f>AVERAGE(E77:AJ77)</f>
        <v>34255.533333333333</v>
      </c>
      <c r="AL77" s="22"/>
      <c r="AM77" s="22"/>
      <c r="AN77" s="22"/>
      <c r="AO77" s="22"/>
    </row>
    <row r="78" spans="1:41" ht="15.75" customHeight="1" x14ac:dyDescent="0.6">
      <c r="A78" s="22" t="s">
        <v>50</v>
      </c>
      <c r="B78" s="22" t="s">
        <v>49</v>
      </c>
      <c r="C78" s="22" t="s">
        <v>32</v>
      </c>
      <c r="D78" s="22" t="s">
        <v>40</v>
      </c>
      <c r="E78" s="16"/>
      <c r="F78" s="22"/>
      <c r="G78" s="22"/>
      <c r="H78" s="22"/>
      <c r="I78" s="22">
        <v>34333</v>
      </c>
      <c r="J78" s="22">
        <v>34333</v>
      </c>
      <c r="K78" s="22">
        <v>34333</v>
      </c>
      <c r="L78" s="22">
        <v>34333</v>
      </c>
      <c r="M78" s="22">
        <v>34333</v>
      </c>
      <c r="N78" s="22">
        <v>34333</v>
      </c>
      <c r="O78" s="22">
        <v>34333</v>
      </c>
      <c r="P78" s="22">
        <v>34333</v>
      </c>
      <c r="Q78" s="22">
        <v>34333</v>
      </c>
      <c r="R78" s="22">
        <v>34333</v>
      </c>
      <c r="S78" s="22">
        <v>34333</v>
      </c>
      <c r="T78" s="22">
        <v>34000</v>
      </c>
      <c r="U78" s="22">
        <v>34000</v>
      </c>
      <c r="V78" s="22">
        <v>34000</v>
      </c>
      <c r="W78" s="22">
        <v>32500</v>
      </c>
      <c r="X78" s="22">
        <v>32500</v>
      </c>
      <c r="Y78" s="22">
        <v>32500</v>
      </c>
      <c r="Z78" s="22">
        <v>32500</v>
      </c>
      <c r="AA78" s="22">
        <v>32500</v>
      </c>
      <c r="AB78" s="22">
        <v>33000</v>
      </c>
      <c r="AC78" s="22">
        <v>33000</v>
      </c>
      <c r="AD78" s="22">
        <v>32667</v>
      </c>
      <c r="AE78" s="22">
        <v>32667</v>
      </c>
      <c r="AF78" s="22">
        <v>32667</v>
      </c>
      <c r="AG78" s="22">
        <v>32667</v>
      </c>
      <c r="AH78" s="22"/>
      <c r="AI78" s="22"/>
      <c r="AJ78" s="22"/>
      <c r="AK78" s="24"/>
      <c r="AL78" s="22"/>
      <c r="AM78" s="22"/>
      <c r="AN78" s="22"/>
      <c r="AO78" s="22"/>
    </row>
    <row r="79" spans="1:41" ht="15.75" customHeight="1" x14ac:dyDescent="0.6">
      <c r="A79" s="22" t="s">
        <v>50</v>
      </c>
      <c r="B79" s="22" t="s">
        <v>49</v>
      </c>
      <c r="C79" s="22" t="s">
        <v>32</v>
      </c>
      <c r="D79" s="22" t="s">
        <v>39</v>
      </c>
      <c r="E79" s="16"/>
      <c r="F79" s="22">
        <v>34133</v>
      </c>
      <c r="G79" s="22">
        <v>34133</v>
      </c>
      <c r="H79" s="22"/>
      <c r="I79" s="22"/>
      <c r="J79" s="22"/>
      <c r="K79" s="22"/>
      <c r="L79" s="22"/>
      <c r="M79" s="22">
        <v>33000</v>
      </c>
      <c r="N79" s="22">
        <v>33750</v>
      </c>
      <c r="O79" s="22">
        <v>33750</v>
      </c>
      <c r="P79" s="22">
        <v>34500</v>
      </c>
      <c r="Q79" s="22">
        <v>36000</v>
      </c>
      <c r="R79" s="22">
        <v>36000</v>
      </c>
      <c r="S79" s="22">
        <v>34400</v>
      </c>
      <c r="T79" s="22"/>
      <c r="U79" s="22">
        <v>36267</v>
      </c>
      <c r="V79" s="22">
        <v>35350</v>
      </c>
      <c r="W79" s="22">
        <v>36267</v>
      </c>
      <c r="X79" s="22">
        <v>36933</v>
      </c>
      <c r="Y79" s="22">
        <v>36800</v>
      </c>
      <c r="Z79" s="22">
        <v>36800</v>
      </c>
      <c r="AA79" s="22">
        <v>35200</v>
      </c>
      <c r="AB79" s="22">
        <v>36800</v>
      </c>
      <c r="AC79" s="22">
        <v>35000</v>
      </c>
      <c r="AD79" s="22">
        <v>35100</v>
      </c>
      <c r="AE79" s="22">
        <v>35667</v>
      </c>
      <c r="AF79" s="22">
        <v>35600</v>
      </c>
      <c r="AG79" s="22">
        <v>35600</v>
      </c>
      <c r="AH79" s="22"/>
      <c r="AI79" s="22">
        <v>35667</v>
      </c>
      <c r="AJ79" s="22"/>
      <c r="AK79" s="24"/>
      <c r="AL79" s="22"/>
      <c r="AM79" s="22"/>
      <c r="AN79" s="22"/>
      <c r="AO79" s="22"/>
    </row>
    <row r="80" spans="1:41" ht="15.75" customHeight="1" x14ac:dyDescent="0.6">
      <c r="A80" s="22" t="s">
        <v>50</v>
      </c>
      <c r="B80" s="22" t="s">
        <v>49</v>
      </c>
      <c r="C80" s="22" t="s">
        <v>32</v>
      </c>
      <c r="D80" s="22" t="s">
        <v>44</v>
      </c>
      <c r="E80" s="16"/>
      <c r="F80" s="22">
        <v>37333</v>
      </c>
      <c r="G80" s="22">
        <v>37400</v>
      </c>
      <c r="H80" s="22">
        <v>37400</v>
      </c>
      <c r="I80" s="22">
        <v>36817</v>
      </c>
      <c r="J80" s="22">
        <v>36800</v>
      </c>
      <c r="K80" s="22">
        <v>36800</v>
      </c>
      <c r="L80" s="22">
        <v>36800</v>
      </c>
      <c r="M80" s="22">
        <v>36800</v>
      </c>
      <c r="N80" s="22">
        <v>35133</v>
      </c>
      <c r="O80" s="22">
        <v>37333</v>
      </c>
      <c r="P80" s="22">
        <v>36800</v>
      </c>
      <c r="Q80" s="22">
        <v>36800</v>
      </c>
      <c r="R80" s="22">
        <v>36433</v>
      </c>
      <c r="S80" s="22">
        <v>36800</v>
      </c>
      <c r="T80" s="22">
        <v>37400</v>
      </c>
      <c r="U80" s="22">
        <v>37333</v>
      </c>
      <c r="V80" s="22">
        <v>37867</v>
      </c>
      <c r="W80" s="22">
        <v>37867</v>
      </c>
      <c r="X80" s="22">
        <v>37367</v>
      </c>
      <c r="Y80" s="22">
        <v>37867</v>
      </c>
      <c r="Z80" s="22">
        <v>37867</v>
      </c>
      <c r="AA80" s="22">
        <v>37867</v>
      </c>
      <c r="AB80" s="22">
        <v>37867</v>
      </c>
      <c r="AC80" s="22">
        <v>37120</v>
      </c>
      <c r="AD80" s="22">
        <v>37400</v>
      </c>
      <c r="AE80" s="22">
        <v>365333</v>
      </c>
      <c r="AF80" s="22">
        <v>37067</v>
      </c>
      <c r="AG80" s="22">
        <v>37686</v>
      </c>
      <c r="AH80" s="22"/>
      <c r="AI80" s="22">
        <v>36833</v>
      </c>
      <c r="AJ80" s="22"/>
      <c r="AK80" s="24"/>
      <c r="AL80" s="22"/>
      <c r="AM80" s="22"/>
      <c r="AN80" s="22"/>
      <c r="AO80" s="22"/>
    </row>
    <row r="81" spans="1:41" ht="15.75" customHeight="1" x14ac:dyDescent="0.6">
      <c r="A81" s="22" t="s">
        <v>50</v>
      </c>
      <c r="B81" s="22" t="s">
        <v>49</v>
      </c>
      <c r="C81" s="22" t="s">
        <v>32</v>
      </c>
      <c r="D81" s="22" t="s">
        <v>37</v>
      </c>
      <c r="E81" s="16"/>
      <c r="F81" s="22">
        <v>36600</v>
      </c>
      <c r="G81" s="22">
        <v>36517</v>
      </c>
      <c r="H81" s="22">
        <v>36517</v>
      </c>
      <c r="I81" s="22">
        <v>36517</v>
      </c>
      <c r="J81" s="22">
        <v>36517</v>
      </c>
      <c r="K81" s="22">
        <v>36517</v>
      </c>
      <c r="L81" s="22">
        <v>36600</v>
      </c>
      <c r="M81" s="22">
        <v>36517</v>
      </c>
      <c r="N81" s="22">
        <v>36600</v>
      </c>
      <c r="O81" s="22">
        <v>36350</v>
      </c>
      <c r="P81" s="22">
        <v>38033</v>
      </c>
      <c r="Q81" s="22">
        <v>36350</v>
      </c>
      <c r="R81" s="22">
        <v>33000</v>
      </c>
      <c r="S81" s="22">
        <v>36350</v>
      </c>
      <c r="T81" s="22">
        <v>36267</v>
      </c>
      <c r="U81" s="22">
        <v>36350</v>
      </c>
      <c r="V81" s="22">
        <v>36600</v>
      </c>
      <c r="W81" s="22">
        <v>36600</v>
      </c>
      <c r="X81" s="22">
        <v>36600</v>
      </c>
      <c r="Y81" s="22">
        <v>36600</v>
      </c>
      <c r="Z81" s="22">
        <v>36600</v>
      </c>
      <c r="AA81" s="22">
        <v>36600</v>
      </c>
      <c r="AB81" s="22">
        <v>36600</v>
      </c>
      <c r="AC81" s="22">
        <v>36600</v>
      </c>
      <c r="AD81" s="22">
        <v>36600</v>
      </c>
      <c r="AE81" s="22">
        <v>36750</v>
      </c>
      <c r="AF81" s="22">
        <v>38333</v>
      </c>
      <c r="AG81" s="22">
        <v>36750</v>
      </c>
      <c r="AH81" s="22"/>
      <c r="AI81" s="22">
        <v>36667</v>
      </c>
      <c r="AJ81" s="22"/>
      <c r="AK81" s="24"/>
      <c r="AL81" s="22"/>
      <c r="AM81" s="22"/>
      <c r="AN81" s="22"/>
      <c r="AO81" s="22"/>
    </row>
    <row r="82" spans="1:41" ht="15.75" customHeight="1" x14ac:dyDescent="0.6">
      <c r="A82" s="22" t="s">
        <v>50</v>
      </c>
      <c r="B82" s="22" t="s">
        <v>49</v>
      </c>
      <c r="C82" s="22" t="s">
        <v>32</v>
      </c>
      <c r="D82" s="22" t="s">
        <v>45</v>
      </c>
      <c r="E82" s="16"/>
      <c r="F82" s="22">
        <v>34500</v>
      </c>
      <c r="G82" s="22">
        <v>33000</v>
      </c>
      <c r="H82" s="22">
        <v>33000</v>
      </c>
      <c r="I82" s="22">
        <v>33000</v>
      </c>
      <c r="J82" s="22">
        <v>33000</v>
      </c>
      <c r="K82" s="22">
        <v>33000</v>
      </c>
      <c r="L82" s="22">
        <v>34500</v>
      </c>
      <c r="M82" s="22">
        <v>34500</v>
      </c>
      <c r="N82" s="22">
        <v>34500</v>
      </c>
      <c r="O82" s="22">
        <v>34500</v>
      </c>
      <c r="P82" s="22">
        <v>34500</v>
      </c>
      <c r="Q82" s="22">
        <v>34500</v>
      </c>
      <c r="R82" s="22">
        <v>35000</v>
      </c>
      <c r="S82" s="22">
        <v>33000</v>
      </c>
      <c r="T82" s="22">
        <v>33000</v>
      </c>
      <c r="U82" s="22">
        <v>33000</v>
      </c>
      <c r="V82" s="22">
        <v>33000</v>
      </c>
      <c r="W82" s="22">
        <v>33000</v>
      </c>
      <c r="X82" s="22">
        <v>33000</v>
      </c>
      <c r="Y82" s="22">
        <v>41000</v>
      </c>
      <c r="Z82" s="22">
        <v>41000</v>
      </c>
      <c r="AA82" s="22">
        <v>33000</v>
      </c>
      <c r="AB82" s="22">
        <v>33000</v>
      </c>
      <c r="AC82" s="22">
        <v>33000</v>
      </c>
      <c r="AD82" s="22">
        <v>33000</v>
      </c>
      <c r="AE82" s="22">
        <v>31500</v>
      </c>
      <c r="AF82" s="22">
        <v>33000</v>
      </c>
      <c r="AG82" s="22">
        <v>33000</v>
      </c>
      <c r="AH82" s="22"/>
      <c r="AI82" s="22">
        <v>33000</v>
      </c>
      <c r="AJ82" s="22"/>
      <c r="AK82" s="24"/>
      <c r="AL82" s="22"/>
      <c r="AM82" s="22"/>
      <c r="AN82" s="22"/>
      <c r="AO82" s="22"/>
    </row>
    <row r="83" spans="1:41" ht="15.75" customHeight="1" x14ac:dyDescent="0.6">
      <c r="A83" s="22" t="s">
        <v>50</v>
      </c>
      <c r="B83" s="22" t="s">
        <v>49</v>
      </c>
      <c r="C83" s="22" t="s">
        <v>32</v>
      </c>
      <c r="D83" s="22" t="s">
        <v>41</v>
      </c>
      <c r="E83" s="16"/>
      <c r="F83" s="22"/>
      <c r="G83" s="22"/>
      <c r="H83" s="22">
        <v>35000</v>
      </c>
      <c r="I83" s="22">
        <v>36000</v>
      </c>
      <c r="J83" s="22">
        <v>36000</v>
      </c>
      <c r="K83" s="22">
        <v>37000</v>
      </c>
      <c r="L83" s="22">
        <v>36000</v>
      </c>
      <c r="M83" s="22"/>
      <c r="N83" s="22">
        <v>37000</v>
      </c>
      <c r="O83" s="22">
        <v>36000</v>
      </c>
      <c r="P83" s="22">
        <v>36000</v>
      </c>
      <c r="Q83" s="22">
        <v>34500</v>
      </c>
      <c r="R83" s="22">
        <v>35000</v>
      </c>
      <c r="S83" s="22">
        <v>34000</v>
      </c>
      <c r="T83" s="22">
        <v>34000</v>
      </c>
      <c r="U83" s="22">
        <v>34000</v>
      </c>
      <c r="V83" s="22">
        <v>34000</v>
      </c>
      <c r="W83" s="22">
        <v>34000</v>
      </c>
      <c r="X83" s="22">
        <v>34000</v>
      </c>
      <c r="Y83" s="22">
        <v>34000</v>
      </c>
      <c r="Z83" s="22">
        <v>34000</v>
      </c>
      <c r="AA83" s="22">
        <v>34000</v>
      </c>
      <c r="AB83" s="22">
        <v>34000</v>
      </c>
      <c r="AC83" s="22">
        <v>34000</v>
      </c>
      <c r="AD83" s="22">
        <v>34000</v>
      </c>
      <c r="AE83" s="22">
        <v>34000</v>
      </c>
      <c r="AF83" s="22">
        <v>34000</v>
      </c>
      <c r="AG83" s="22">
        <v>34000</v>
      </c>
      <c r="AH83" s="22"/>
      <c r="AI83" s="22">
        <v>34000</v>
      </c>
      <c r="AJ83" s="22"/>
      <c r="AK83" s="24"/>
      <c r="AL83" s="22"/>
      <c r="AM83" s="22"/>
      <c r="AN83" s="22"/>
      <c r="AO83" s="22"/>
    </row>
    <row r="84" spans="1:41" ht="15.75" customHeight="1" x14ac:dyDescent="0.6">
      <c r="A84" s="22" t="s">
        <v>50</v>
      </c>
      <c r="B84" s="22" t="s">
        <v>49</v>
      </c>
      <c r="C84" s="22" t="s">
        <v>32</v>
      </c>
      <c r="D84" s="22" t="s">
        <v>43</v>
      </c>
      <c r="E84" s="16"/>
      <c r="F84" s="22">
        <v>35000</v>
      </c>
      <c r="G84" s="22">
        <v>35000</v>
      </c>
      <c r="H84" s="22">
        <v>35000</v>
      </c>
      <c r="I84" s="22">
        <v>35000</v>
      </c>
      <c r="J84" s="22">
        <v>35000</v>
      </c>
      <c r="K84" s="22">
        <v>35000</v>
      </c>
      <c r="L84" s="22">
        <v>35000</v>
      </c>
      <c r="M84" s="22">
        <v>35000</v>
      </c>
      <c r="N84" s="22">
        <v>35000</v>
      </c>
      <c r="O84" s="22">
        <v>35000</v>
      </c>
      <c r="P84" s="22">
        <v>35000</v>
      </c>
      <c r="Q84" s="22">
        <v>35000</v>
      </c>
      <c r="R84" s="22">
        <v>33000</v>
      </c>
      <c r="S84" s="22">
        <v>35000</v>
      </c>
      <c r="T84" s="22">
        <v>35000</v>
      </c>
      <c r="U84" s="22">
        <v>35000</v>
      </c>
      <c r="V84" s="22">
        <v>35000</v>
      </c>
      <c r="W84" s="22">
        <v>35000</v>
      </c>
      <c r="X84" s="22">
        <v>35000</v>
      </c>
      <c r="Y84" s="22">
        <v>35000</v>
      </c>
      <c r="Z84" s="22">
        <v>35000</v>
      </c>
      <c r="AA84" s="22">
        <v>35000</v>
      </c>
      <c r="AB84" s="22">
        <v>35000</v>
      </c>
      <c r="AC84" s="22">
        <v>35000</v>
      </c>
      <c r="AD84" s="22">
        <v>35000</v>
      </c>
      <c r="AE84" s="22">
        <v>35000</v>
      </c>
      <c r="AF84" s="22">
        <v>35000</v>
      </c>
      <c r="AG84" s="22">
        <v>35000</v>
      </c>
      <c r="AH84" s="22"/>
      <c r="AI84" s="22">
        <v>35000</v>
      </c>
      <c r="AJ84" s="22"/>
      <c r="AK84" s="24"/>
      <c r="AL84" s="22"/>
      <c r="AM84" s="22"/>
      <c r="AN84" s="22"/>
      <c r="AO84" s="22"/>
    </row>
    <row r="85" spans="1:41" ht="15.75" customHeight="1" x14ac:dyDescent="0.6">
      <c r="A85" s="22" t="s">
        <v>50</v>
      </c>
      <c r="B85" s="22" t="s">
        <v>49</v>
      </c>
      <c r="C85" s="22" t="s">
        <v>32</v>
      </c>
      <c r="D85" s="22" t="s">
        <v>35</v>
      </c>
      <c r="E85" s="16"/>
      <c r="F85" s="22">
        <v>34500</v>
      </c>
      <c r="G85" s="22">
        <v>34500</v>
      </c>
      <c r="H85" s="22">
        <v>34333</v>
      </c>
      <c r="I85" s="22">
        <v>34333</v>
      </c>
      <c r="J85" s="22">
        <v>34500</v>
      </c>
      <c r="K85" s="22">
        <v>34500</v>
      </c>
      <c r="L85" s="22">
        <v>37000</v>
      </c>
      <c r="M85" s="22">
        <v>34000</v>
      </c>
      <c r="N85" s="22">
        <v>34000</v>
      </c>
      <c r="O85" s="22">
        <v>34250</v>
      </c>
      <c r="P85" s="22">
        <v>34250</v>
      </c>
      <c r="Q85" s="22">
        <v>33667</v>
      </c>
      <c r="R85" s="22">
        <v>23000</v>
      </c>
      <c r="S85" s="22">
        <v>34000</v>
      </c>
      <c r="T85" s="22">
        <v>34000</v>
      </c>
      <c r="U85" s="22">
        <v>33750</v>
      </c>
      <c r="V85" s="22">
        <v>34500</v>
      </c>
      <c r="W85" s="22">
        <v>33000</v>
      </c>
      <c r="X85" s="22">
        <v>32667</v>
      </c>
      <c r="Y85" s="22">
        <v>33000</v>
      </c>
      <c r="Z85" s="22">
        <v>33000</v>
      </c>
      <c r="AA85" s="22">
        <v>33000</v>
      </c>
      <c r="AB85" s="22">
        <v>32500</v>
      </c>
      <c r="AC85" s="22">
        <v>33000</v>
      </c>
      <c r="AD85" s="22">
        <v>33000</v>
      </c>
      <c r="AE85" s="22">
        <v>32500</v>
      </c>
      <c r="AF85" s="22">
        <v>32333</v>
      </c>
      <c r="AG85" s="22">
        <v>32500</v>
      </c>
      <c r="AH85" s="22"/>
      <c r="AI85" s="22"/>
      <c r="AJ85" s="22"/>
      <c r="AK85" s="24"/>
      <c r="AL85" s="22"/>
      <c r="AM85" s="22"/>
      <c r="AN85" s="22"/>
      <c r="AO85" s="22"/>
    </row>
    <row r="86" spans="1:41" ht="15.75" customHeight="1" x14ac:dyDescent="0.6">
      <c r="A86" s="22" t="s">
        <v>50</v>
      </c>
      <c r="B86" s="22" t="s">
        <v>49</v>
      </c>
      <c r="C86" s="22" t="s">
        <v>32</v>
      </c>
      <c r="D86" s="22" t="s">
        <v>34</v>
      </c>
      <c r="E86" s="16"/>
      <c r="F86" s="22"/>
      <c r="G86" s="22">
        <v>33000</v>
      </c>
      <c r="H86" s="22">
        <v>32667</v>
      </c>
      <c r="I86" s="22">
        <v>33000</v>
      </c>
      <c r="J86" s="22"/>
      <c r="K86" s="22"/>
      <c r="L86" s="22"/>
      <c r="M86" s="22">
        <v>33000</v>
      </c>
      <c r="N86" s="22">
        <v>33000</v>
      </c>
      <c r="O86" s="22">
        <v>33000</v>
      </c>
      <c r="P86" s="22">
        <v>33000</v>
      </c>
      <c r="Q86" s="22">
        <v>33000</v>
      </c>
      <c r="R86" s="22">
        <v>36944</v>
      </c>
      <c r="S86" s="22">
        <v>32000</v>
      </c>
      <c r="T86" s="22">
        <v>32000</v>
      </c>
      <c r="U86" s="22">
        <v>32000</v>
      </c>
      <c r="V86" s="22"/>
      <c r="W86" s="22">
        <v>32000</v>
      </c>
      <c r="X86" s="22">
        <v>32000</v>
      </c>
      <c r="Y86" s="22">
        <v>32000</v>
      </c>
      <c r="Z86" s="22">
        <v>32000</v>
      </c>
      <c r="AA86" s="22">
        <v>32000</v>
      </c>
      <c r="AB86" s="22"/>
      <c r="AC86" s="22"/>
      <c r="AD86" s="22">
        <v>32000</v>
      </c>
      <c r="AE86" s="22">
        <v>32000</v>
      </c>
      <c r="AF86" s="22"/>
      <c r="AG86" s="22">
        <v>31000</v>
      </c>
      <c r="AH86" s="22"/>
      <c r="AI86" s="22">
        <v>30500</v>
      </c>
      <c r="AJ86" s="22"/>
      <c r="AK86" s="24"/>
      <c r="AL86" s="22"/>
      <c r="AM86" s="22"/>
      <c r="AN86" s="22"/>
      <c r="AO86" s="22"/>
    </row>
    <row r="87" spans="1:41" ht="15.75" customHeight="1" x14ac:dyDescent="0.6">
      <c r="A87" s="22" t="s">
        <v>50</v>
      </c>
      <c r="B87" s="22" t="s">
        <v>49</v>
      </c>
      <c r="C87" s="22" t="s">
        <v>32</v>
      </c>
      <c r="D87" s="22" t="s">
        <v>36</v>
      </c>
      <c r="E87" s="16"/>
      <c r="F87" s="22">
        <v>35377</v>
      </c>
      <c r="G87" s="22">
        <v>35377</v>
      </c>
      <c r="H87" s="22">
        <v>35377</v>
      </c>
      <c r="I87" s="22">
        <v>35333</v>
      </c>
      <c r="J87" s="22">
        <v>35377</v>
      </c>
      <c r="K87" s="22">
        <v>35377</v>
      </c>
      <c r="L87" s="22"/>
      <c r="M87" s="22">
        <v>23000</v>
      </c>
      <c r="N87" s="22">
        <v>23000</v>
      </c>
      <c r="O87" s="22">
        <v>23000</v>
      </c>
      <c r="P87" s="22">
        <v>23000</v>
      </c>
      <c r="Q87" s="22">
        <v>23000</v>
      </c>
      <c r="R87" s="22">
        <v>35200</v>
      </c>
      <c r="S87" s="22">
        <v>23000</v>
      </c>
      <c r="T87" s="22">
        <v>23000</v>
      </c>
      <c r="U87" s="22">
        <v>23000</v>
      </c>
      <c r="V87" s="22">
        <v>23000</v>
      </c>
      <c r="W87" s="22">
        <v>23000</v>
      </c>
      <c r="X87" s="22"/>
      <c r="Y87" s="22">
        <v>30000</v>
      </c>
      <c r="Z87" s="22">
        <v>30000</v>
      </c>
      <c r="AA87" s="22">
        <v>30000</v>
      </c>
      <c r="AB87" s="22">
        <v>30000</v>
      </c>
      <c r="AC87" s="22">
        <v>30000</v>
      </c>
      <c r="AD87" s="22">
        <v>30000</v>
      </c>
      <c r="AE87" s="22">
        <v>30000</v>
      </c>
      <c r="AF87" s="22">
        <v>30000</v>
      </c>
      <c r="AG87" s="22">
        <v>30000</v>
      </c>
      <c r="AH87" s="22"/>
      <c r="AI87" s="22">
        <v>30000</v>
      </c>
      <c r="AJ87" s="22"/>
      <c r="AK87" s="24"/>
      <c r="AL87" s="22"/>
      <c r="AM87" s="22"/>
      <c r="AN87" s="22"/>
      <c r="AO87" s="22"/>
    </row>
    <row r="88" spans="1:41" ht="15.75" customHeight="1" x14ac:dyDescent="0.6">
      <c r="A88" s="22" t="s">
        <v>50</v>
      </c>
      <c r="B88" s="22" t="s">
        <v>49</v>
      </c>
      <c r="C88" s="22" t="s">
        <v>32</v>
      </c>
      <c r="D88" s="22" t="s">
        <v>42</v>
      </c>
      <c r="E88" s="16"/>
      <c r="F88" s="22">
        <v>36944</v>
      </c>
      <c r="G88" s="22">
        <v>36944</v>
      </c>
      <c r="H88" s="22">
        <v>36944</v>
      </c>
      <c r="I88" s="22">
        <v>36944</v>
      </c>
      <c r="J88" s="22">
        <v>36806</v>
      </c>
      <c r="K88" s="22">
        <v>36944</v>
      </c>
      <c r="L88" s="22">
        <v>36944</v>
      </c>
      <c r="M88" s="22">
        <v>36944</v>
      </c>
      <c r="N88" s="22">
        <v>36944</v>
      </c>
      <c r="O88" s="22">
        <v>36944</v>
      </c>
      <c r="P88" s="22">
        <v>36944</v>
      </c>
      <c r="Q88" s="22">
        <v>36944</v>
      </c>
      <c r="R88" s="22">
        <v>33750</v>
      </c>
      <c r="S88" s="22">
        <v>36018</v>
      </c>
      <c r="T88" s="22">
        <v>36018</v>
      </c>
      <c r="U88" s="22">
        <v>36018</v>
      </c>
      <c r="V88" s="22">
        <v>36018</v>
      </c>
      <c r="W88" s="22">
        <v>36018</v>
      </c>
      <c r="X88" s="22">
        <v>36018</v>
      </c>
      <c r="Y88" s="22">
        <v>36018</v>
      </c>
      <c r="Z88" s="22">
        <v>36018</v>
      </c>
      <c r="AA88" s="22">
        <v>34259</v>
      </c>
      <c r="AB88" s="22">
        <v>34259</v>
      </c>
      <c r="AC88" s="22">
        <v>34259</v>
      </c>
      <c r="AD88" s="22">
        <v>34259</v>
      </c>
      <c r="AE88" s="22">
        <v>34259</v>
      </c>
      <c r="AF88" s="22">
        <v>34259</v>
      </c>
      <c r="AG88" s="22">
        <v>34259</v>
      </c>
      <c r="AH88" s="22"/>
      <c r="AI88" s="22">
        <v>34259</v>
      </c>
      <c r="AJ88" s="22"/>
      <c r="AK88" s="24"/>
      <c r="AL88" s="22"/>
      <c r="AM88" s="22"/>
      <c r="AN88" s="22"/>
      <c r="AO88" s="22"/>
    </row>
    <row r="89" spans="1:41" ht="15.75" customHeight="1" x14ac:dyDescent="0.6">
      <c r="A89" s="22" t="s">
        <v>50</v>
      </c>
      <c r="B89" s="22" t="s">
        <v>49</v>
      </c>
      <c r="C89" s="22" t="s">
        <v>32</v>
      </c>
      <c r="D89" s="22" t="s">
        <v>38</v>
      </c>
      <c r="E89" s="16"/>
      <c r="F89" s="22">
        <v>35600</v>
      </c>
      <c r="G89" s="22">
        <v>35520</v>
      </c>
      <c r="H89" s="22">
        <v>35733</v>
      </c>
      <c r="I89" s="22">
        <v>35520</v>
      </c>
      <c r="J89" s="22">
        <v>35520</v>
      </c>
      <c r="K89" s="22">
        <v>35520</v>
      </c>
      <c r="L89" s="22">
        <v>35600</v>
      </c>
      <c r="M89" s="22">
        <v>35520</v>
      </c>
      <c r="N89" s="22">
        <v>35600</v>
      </c>
      <c r="O89" s="22">
        <v>35200</v>
      </c>
      <c r="P89" s="22">
        <v>35520</v>
      </c>
      <c r="Q89" s="22">
        <v>35200</v>
      </c>
      <c r="R89" s="22">
        <v>32500</v>
      </c>
      <c r="S89" s="22">
        <v>35200</v>
      </c>
      <c r="T89" s="22">
        <v>35200</v>
      </c>
      <c r="U89" s="22">
        <v>35200</v>
      </c>
      <c r="V89" s="22">
        <v>35200</v>
      </c>
      <c r="W89" s="22">
        <v>35200</v>
      </c>
      <c r="X89" s="22">
        <v>35200</v>
      </c>
      <c r="Y89" s="22">
        <v>35200</v>
      </c>
      <c r="Z89" s="22">
        <v>35200</v>
      </c>
      <c r="AA89" s="22">
        <v>35200</v>
      </c>
      <c r="AB89" s="22">
        <v>35200</v>
      </c>
      <c r="AC89" s="22">
        <v>35200</v>
      </c>
      <c r="AD89" s="22">
        <v>35200</v>
      </c>
      <c r="AE89" s="22">
        <v>35200</v>
      </c>
      <c r="AF89" s="22">
        <v>35200</v>
      </c>
      <c r="AG89" s="22">
        <v>35200</v>
      </c>
      <c r="AH89" s="22"/>
      <c r="AI89" s="22">
        <v>35200</v>
      </c>
      <c r="AJ89" s="22"/>
      <c r="AK89" s="24"/>
      <c r="AL89" s="22"/>
      <c r="AM89" s="22"/>
      <c r="AN89" s="22"/>
      <c r="AO89" s="22"/>
    </row>
    <row r="90" spans="1:41" ht="15.75" customHeight="1" x14ac:dyDescent="0.6">
      <c r="A90" s="22" t="s">
        <v>50</v>
      </c>
      <c r="B90" s="22" t="s">
        <v>49</v>
      </c>
      <c r="C90" s="22" t="s">
        <v>32</v>
      </c>
      <c r="D90" s="22" t="s">
        <v>51</v>
      </c>
      <c r="E90" s="16"/>
      <c r="F90" s="22">
        <v>35000</v>
      </c>
      <c r="G90" s="22">
        <v>35000</v>
      </c>
      <c r="H90" s="22">
        <v>35000</v>
      </c>
      <c r="I90" s="22">
        <v>34250</v>
      </c>
      <c r="J90" s="22">
        <v>33750</v>
      </c>
      <c r="K90" s="22">
        <v>33800</v>
      </c>
      <c r="L90" s="22">
        <v>33750</v>
      </c>
      <c r="M90" s="22">
        <v>33250</v>
      </c>
      <c r="N90" s="22">
        <v>33250</v>
      </c>
      <c r="O90" s="22">
        <v>33500</v>
      </c>
      <c r="P90" s="22">
        <v>33250</v>
      </c>
      <c r="Q90" s="22">
        <v>33250</v>
      </c>
      <c r="R90" s="22">
        <v>33750</v>
      </c>
      <c r="S90" s="22">
        <v>33750</v>
      </c>
      <c r="T90" s="22">
        <v>33750</v>
      </c>
      <c r="U90" s="22">
        <v>33750</v>
      </c>
      <c r="V90" s="22">
        <v>334750</v>
      </c>
      <c r="W90" s="22">
        <v>33250</v>
      </c>
      <c r="X90" s="22">
        <v>32000</v>
      </c>
      <c r="Y90" s="22">
        <v>32000</v>
      </c>
      <c r="Z90" s="22">
        <v>32000</v>
      </c>
      <c r="AA90" s="22">
        <v>32000</v>
      </c>
      <c r="AB90" s="22">
        <v>32000</v>
      </c>
      <c r="AC90" s="22">
        <v>32000</v>
      </c>
      <c r="AD90" s="22">
        <v>3200</v>
      </c>
      <c r="AE90" s="22">
        <v>32000</v>
      </c>
      <c r="AF90" s="22">
        <v>32000</v>
      </c>
      <c r="AG90" s="22">
        <v>32000</v>
      </c>
      <c r="AH90" s="22"/>
      <c r="AI90" s="22">
        <v>32000</v>
      </c>
      <c r="AJ90" s="22"/>
      <c r="AK90" s="24"/>
      <c r="AL90" s="22"/>
      <c r="AM90" s="22"/>
      <c r="AN90" s="22"/>
      <c r="AO90" s="22"/>
    </row>
    <row r="91" spans="1:41" ht="15.75" customHeight="1" x14ac:dyDescent="0.6">
      <c r="A91" s="22" t="s">
        <v>50</v>
      </c>
      <c r="B91" s="22" t="s">
        <v>49</v>
      </c>
      <c r="C91" s="22" t="s">
        <v>32</v>
      </c>
      <c r="D91" s="22" t="s">
        <v>52</v>
      </c>
      <c r="E91" s="16"/>
      <c r="F91" s="22"/>
      <c r="G91" s="22">
        <v>33000</v>
      </c>
      <c r="H91" s="22">
        <v>33333</v>
      </c>
      <c r="I91" s="22">
        <v>33200</v>
      </c>
      <c r="J91" s="22">
        <v>33200</v>
      </c>
      <c r="K91" s="22">
        <v>33200</v>
      </c>
      <c r="L91" s="22">
        <v>33000</v>
      </c>
      <c r="M91" s="22">
        <v>32500</v>
      </c>
      <c r="N91" s="22">
        <v>32500</v>
      </c>
      <c r="O91" s="22">
        <v>32500</v>
      </c>
      <c r="P91" s="22">
        <v>32500</v>
      </c>
      <c r="Q91" s="22">
        <v>32600</v>
      </c>
      <c r="R91" s="22">
        <v>32600</v>
      </c>
      <c r="S91" s="22">
        <v>32500</v>
      </c>
      <c r="T91" s="22">
        <v>31333</v>
      </c>
      <c r="U91" s="22">
        <v>31000</v>
      </c>
      <c r="V91" s="22">
        <v>32000</v>
      </c>
      <c r="W91" s="22">
        <v>31600</v>
      </c>
      <c r="X91" s="22">
        <v>31500</v>
      </c>
      <c r="Y91" s="22">
        <v>31600</v>
      </c>
      <c r="Z91" s="22">
        <v>31600</v>
      </c>
      <c r="AA91" s="22">
        <v>31333</v>
      </c>
      <c r="AB91" s="22">
        <v>31667</v>
      </c>
      <c r="AC91" s="22">
        <v>31000</v>
      </c>
      <c r="AD91" s="22">
        <v>30833</v>
      </c>
      <c r="AE91" s="22">
        <v>31000</v>
      </c>
      <c r="AF91" s="22">
        <v>30833</v>
      </c>
      <c r="AG91" s="22">
        <v>30400</v>
      </c>
      <c r="AH91" s="22"/>
      <c r="AI91" s="22">
        <v>30000</v>
      </c>
      <c r="AJ91" s="22"/>
      <c r="AK91" s="24"/>
      <c r="AL91" s="22"/>
      <c r="AM91" s="22"/>
      <c r="AN91" s="22"/>
      <c r="AO91" s="22"/>
    </row>
    <row r="92" spans="1:41" ht="15.75" customHeight="1" x14ac:dyDescent="0.6">
      <c r="A92" s="25" t="s">
        <v>50</v>
      </c>
      <c r="B92" s="25" t="s">
        <v>53</v>
      </c>
      <c r="C92" s="25" t="s">
        <v>32</v>
      </c>
      <c r="D92" s="25" t="s">
        <v>33</v>
      </c>
      <c r="E92" s="25"/>
      <c r="F92" s="25">
        <v>6800</v>
      </c>
      <c r="G92" s="25">
        <v>6800</v>
      </c>
      <c r="H92" s="25">
        <v>6800</v>
      </c>
      <c r="I92" s="25">
        <v>6200</v>
      </c>
      <c r="J92" s="25">
        <v>6800</v>
      </c>
      <c r="K92" s="25">
        <v>6800</v>
      </c>
      <c r="L92" s="25">
        <v>6800</v>
      </c>
      <c r="M92" s="25">
        <v>6800</v>
      </c>
      <c r="N92" s="25">
        <v>6800</v>
      </c>
      <c r="O92" s="25">
        <v>6800</v>
      </c>
      <c r="P92" s="25">
        <v>6800</v>
      </c>
      <c r="Q92" s="25">
        <v>6800</v>
      </c>
      <c r="R92" s="25">
        <v>6800</v>
      </c>
      <c r="S92" s="25">
        <v>6800</v>
      </c>
      <c r="T92" s="25">
        <v>6800</v>
      </c>
      <c r="U92" s="25">
        <v>6800</v>
      </c>
      <c r="V92" s="25">
        <v>6800</v>
      </c>
      <c r="W92" s="25">
        <v>6800</v>
      </c>
      <c r="X92" s="25">
        <v>6800</v>
      </c>
      <c r="Y92" s="25">
        <v>6800</v>
      </c>
      <c r="Z92" s="25">
        <v>6800</v>
      </c>
      <c r="AA92" s="25">
        <v>6800</v>
      </c>
      <c r="AB92" s="25">
        <v>6800</v>
      </c>
      <c r="AC92" s="25">
        <v>6800</v>
      </c>
      <c r="AD92" s="25">
        <v>6750</v>
      </c>
      <c r="AE92" s="25">
        <v>6700</v>
      </c>
      <c r="AF92" s="25">
        <v>6700</v>
      </c>
      <c r="AG92" s="25">
        <v>6700</v>
      </c>
      <c r="AH92" s="25">
        <v>6700</v>
      </c>
      <c r="AI92" s="25">
        <v>6700</v>
      </c>
      <c r="AJ92" s="25"/>
      <c r="AK92" s="26"/>
      <c r="AL92" s="25"/>
      <c r="AM92" s="25"/>
      <c r="AN92" s="25"/>
      <c r="AO92" s="25"/>
    </row>
    <row r="93" spans="1:41" ht="15.75" customHeight="1" x14ac:dyDescent="0.6">
      <c r="A93" s="25" t="s">
        <v>50</v>
      </c>
      <c r="B93" s="25" t="s">
        <v>53</v>
      </c>
      <c r="C93" s="25" t="s">
        <v>32</v>
      </c>
      <c r="D93" s="25" t="s">
        <v>52</v>
      </c>
      <c r="E93" s="25"/>
      <c r="F93" s="25"/>
      <c r="G93" s="25">
        <v>6800</v>
      </c>
      <c r="H93" s="25">
        <v>6800</v>
      </c>
      <c r="I93" s="25">
        <v>6200</v>
      </c>
      <c r="J93" s="25">
        <v>6800</v>
      </c>
      <c r="K93" s="25">
        <v>6800</v>
      </c>
      <c r="L93" s="25">
        <v>6800</v>
      </c>
      <c r="M93" s="25">
        <v>6800</v>
      </c>
      <c r="N93" s="25">
        <v>6800</v>
      </c>
      <c r="O93" s="25">
        <v>6800</v>
      </c>
      <c r="P93" s="25">
        <v>6800</v>
      </c>
      <c r="Q93" s="25">
        <v>6800</v>
      </c>
      <c r="R93" s="25">
        <v>6800</v>
      </c>
      <c r="S93" s="25">
        <v>6800</v>
      </c>
      <c r="T93" s="25">
        <v>6800</v>
      </c>
      <c r="U93" s="25">
        <v>6800</v>
      </c>
      <c r="V93" s="25">
        <v>6800</v>
      </c>
      <c r="W93" s="25">
        <v>6800</v>
      </c>
      <c r="X93" s="25">
        <v>6800</v>
      </c>
      <c r="Y93" s="25">
        <v>6800</v>
      </c>
      <c r="Z93" s="25">
        <v>6800</v>
      </c>
      <c r="AA93" s="25">
        <v>6800</v>
      </c>
      <c r="AB93" s="25">
        <v>6800</v>
      </c>
      <c r="AC93" s="25">
        <v>6800</v>
      </c>
      <c r="AD93" s="25">
        <v>6750</v>
      </c>
      <c r="AE93" s="25">
        <v>6700</v>
      </c>
      <c r="AF93" s="25">
        <v>6700</v>
      </c>
      <c r="AG93" s="25">
        <v>6700</v>
      </c>
      <c r="AH93" s="25">
        <v>6700</v>
      </c>
      <c r="AI93" s="25">
        <v>6700</v>
      </c>
      <c r="AJ93" s="25"/>
      <c r="AK93" s="26"/>
      <c r="AL93" s="25"/>
      <c r="AM93" s="25"/>
      <c r="AN93" s="25"/>
      <c r="AO93" s="25"/>
    </row>
    <row r="94" spans="1:41" ht="15.75" customHeight="1" x14ac:dyDescent="0.6">
      <c r="A94" s="27" t="s">
        <v>54</v>
      </c>
      <c r="B94" s="27" t="s">
        <v>55</v>
      </c>
      <c r="C94" s="27" t="s">
        <v>56</v>
      </c>
      <c r="D94" s="27" t="s">
        <v>33</v>
      </c>
      <c r="E94" s="27"/>
      <c r="F94" s="27">
        <v>38250</v>
      </c>
      <c r="G94" s="27"/>
      <c r="H94" s="27"/>
      <c r="I94" s="27">
        <v>38450</v>
      </c>
      <c r="J94" s="27">
        <v>38450</v>
      </c>
      <c r="K94" s="27">
        <v>38200</v>
      </c>
      <c r="L94" s="27">
        <v>37950</v>
      </c>
      <c r="M94" s="27">
        <v>37750</v>
      </c>
      <c r="N94" s="27"/>
      <c r="O94" s="27"/>
      <c r="P94" s="27">
        <v>37400</v>
      </c>
      <c r="Q94" s="27">
        <v>37500</v>
      </c>
      <c r="R94" s="27">
        <v>37950</v>
      </c>
      <c r="S94" s="27">
        <v>38050</v>
      </c>
      <c r="T94" s="27">
        <v>38050</v>
      </c>
      <c r="U94" s="27"/>
      <c r="V94" s="27"/>
      <c r="W94" s="27">
        <v>38050</v>
      </c>
      <c r="X94" s="27">
        <v>38050</v>
      </c>
      <c r="Y94" s="27">
        <v>38050</v>
      </c>
      <c r="Z94" s="27">
        <v>38750</v>
      </c>
      <c r="AA94" s="27">
        <v>38750</v>
      </c>
      <c r="AB94" s="27"/>
      <c r="AC94" s="27"/>
      <c r="AD94" s="27"/>
      <c r="AE94" s="27">
        <v>39500</v>
      </c>
      <c r="AF94" s="27">
        <v>39500</v>
      </c>
      <c r="AG94" s="27">
        <v>39600</v>
      </c>
      <c r="AH94" s="27">
        <v>39500</v>
      </c>
      <c r="AI94" s="27"/>
      <c r="AJ94" s="27"/>
      <c r="AK94" s="28"/>
      <c r="AL94" s="27"/>
      <c r="AM94" s="27"/>
      <c r="AN94" s="27"/>
      <c r="AO94" s="27"/>
    </row>
    <row r="95" spans="1:41" ht="15.75" customHeight="1" x14ac:dyDescent="0.6">
      <c r="A95" s="27" t="s">
        <v>54</v>
      </c>
      <c r="B95" s="27" t="s">
        <v>55</v>
      </c>
      <c r="C95" s="27" t="s">
        <v>56</v>
      </c>
      <c r="D95" s="27" t="s">
        <v>38</v>
      </c>
      <c r="E95" s="27"/>
      <c r="F95" s="27"/>
      <c r="G95" s="27"/>
      <c r="H95" s="27"/>
      <c r="I95" s="27">
        <v>46000</v>
      </c>
      <c r="J95" s="27">
        <v>46000</v>
      </c>
      <c r="K95" s="27">
        <v>46000</v>
      </c>
      <c r="L95" s="27">
        <v>46000</v>
      </c>
      <c r="M95" s="27">
        <v>46000</v>
      </c>
      <c r="N95" s="27"/>
      <c r="O95" s="27"/>
      <c r="P95" s="27">
        <v>45250</v>
      </c>
      <c r="Q95" s="27">
        <v>44750</v>
      </c>
      <c r="R95" s="27">
        <v>44750</v>
      </c>
      <c r="S95" s="27">
        <v>44750</v>
      </c>
      <c r="T95" s="27">
        <v>44750</v>
      </c>
      <c r="U95" s="27"/>
      <c r="V95" s="27"/>
      <c r="W95" s="27">
        <v>44750</v>
      </c>
      <c r="X95" s="27">
        <v>44750</v>
      </c>
      <c r="Y95" s="27">
        <v>44750</v>
      </c>
      <c r="Z95" s="27">
        <v>44750</v>
      </c>
      <c r="AA95" s="27">
        <v>44750</v>
      </c>
      <c r="AB95" s="27"/>
      <c r="AC95" s="27"/>
      <c r="AD95" s="27"/>
      <c r="AE95" s="27">
        <v>44750</v>
      </c>
      <c r="AF95" s="27">
        <v>44750</v>
      </c>
      <c r="AG95" s="27">
        <v>44750</v>
      </c>
      <c r="AH95" s="27">
        <v>44750</v>
      </c>
      <c r="AI95" s="27"/>
      <c r="AJ95" s="27"/>
      <c r="AK95" s="28"/>
      <c r="AL95" s="27"/>
      <c r="AM95" s="27"/>
      <c r="AN95" s="27"/>
      <c r="AO95" s="27"/>
    </row>
    <row r="96" spans="1:41" ht="15.75" customHeight="1" x14ac:dyDescent="0.6">
      <c r="A96" s="27" t="s">
        <v>54</v>
      </c>
      <c r="B96" s="27" t="s">
        <v>55</v>
      </c>
      <c r="C96" s="27" t="s">
        <v>56</v>
      </c>
      <c r="D96" s="27" t="s">
        <v>51</v>
      </c>
      <c r="E96" s="27"/>
      <c r="F96" s="27"/>
      <c r="G96" s="27"/>
      <c r="H96" s="27"/>
      <c r="I96" s="27">
        <v>33400</v>
      </c>
      <c r="J96" s="27">
        <v>33400</v>
      </c>
      <c r="K96" s="27">
        <v>32650</v>
      </c>
      <c r="L96" s="27">
        <v>31900</v>
      </c>
      <c r="M96" s="27">
        <v>31250</v>
      </c>
      <c r="N96" s="27"/>
      <c r="O96" s="27"/>
      <c r="P96" s="27">
        <v>31000</v>
      </c>
      <c r="Q96" s="27">
        <v>31750</v>
      </c>
      <c r="R96" s="27">
        <v>33150</v>
      </c>
      <c r="S96" s="27">
        <v>33400</v>
      </c>
      <c r="T96" s="27">
        <v>33400</v>
      </c>
      <c r="U96" s="27"/>
      <c r="V96" s="27"/>
      <c r="W96" s="27">
        <v>33400</v>
      </c>
      <c r="X96" s="27">
        <v>33400</v>
      </c>
      <c r="Y96" s="27">
        <v>33400</v>
      </c>
      <c r="Z96" s="27">
        <v>34500</v>
      </c>
      <c r="AA96" s="27">
        <v>34500</v>
      </c>
      <c r="AB96" s="27"/>
      <c r="AC96" s="27"/>
      <c r="AD96" s="27"/>
      <c r="AE96" s="27">
        <v>36750</v>
      </c>
      <c r="AF96" s="27">
        <v>36750</v>
      </c>
      <c r="AG96" s="27">
        <v>36750</v>
      </c>
      <c r="AH96" s="27">
        <v>36500</v>
      </c>
      <c r="AI96" s="27"/>
      <c r="AJ96" s="27"/>
      <c r="AK96" s="28"/>
      <c r="AL96" s="27"/>
      <c r="AM96" s="27"/>
      <c r="AN96" s="27"/>
      <c r="AO96" s="27"/>
    </row>
    <row r="97" spans="1:41" ht="15.75" customHeight="1" x14ac:dyDescent="0.6">
      <c r="A97" s="27" t="s">
        <v>54</v>
      </c>
      <c r="B97" s="27" t="s">
        <v>55</v>
      </c>
      <c r="C97" s="27" t="s">
        <v>56</v>
      </c>
      <c r="D97" s="27" t="s">
        <v>52</v>
      </c>
      <c r="E97" s="27"/>
      <c r="F97" s="27"/>
      <c r="G97" s="27"/>
      <c r="H97" s="27"/>
      <c r="I97" s="27">
        <v>36000</v>
      </c>
      <c r="J97" s="27">
        <v>36000</v>
      </c>
      <c r="K97" s="27">
        <v>36000</v>
      </c>
      <c r="L97" s="27">
        <v>36000</v>
      </c>
      <c r="M97" s="27">
        <v>36000</v>
      </c>
      <c r="N97" s="27"/>
      <c r="O97" s="27"/>
      <c r="P97" s="27">
        <v>36000</v>
      </c>
      <c r="Q97" s="27">
        <v>36000</v>
      </c>
      <c r="R97" s="27">
        <v>36000</v>
      </c>
      <c r="S97" s="27">
        <v>36000</v>
      </c>
      <c r="T97" s="27">
        <v>36000</v>
      </c>
      <c r="U97" s="27"/>
      <c r="V97" s="27"/>
      <c r="W97" s="27">
        <v>36000</v>
      </c>
      <c r="X97" s="27">
        <v>36000</v>
      </c>
      <c r="Y97" s="27">
        <v>36000</v>
      </c>
      <c r="Z97" s="27">
        <v>37000</v>
      </c>
      <c r="AA97" s="27">
        <v>37000</v>
      </c>
      <c r="AB97" s="27"/>
      <c r="AC97" s="27"/>
      <c r="AD97" s="27"/>
      <c r="AE97" s="27">
        <v>37000</v>
      </c>
      <c r="AF97" s="27">
        <v>37000</v>
      </c>
      <c r="AG97" s="27">
        <v>37250</v>
      </c>
      <c r="AH97" s="27">
        <v>37250</v>
      </c>
      <c r="AI97" s="27"/>
      <c r="AJ97" s="27"/>
      <c r="AK97" s="28"/>
      <c r="AL97" s="27"/>
      <c r="AM97" s="27"/>
      <c r="AN97" s="27"/>
      <c r="AO97" s="27"/>
    </row>
    <row r="98" spans="1:41" ht="15.75" customHeight="1" x14ac:dyDescent="0.6">
      <c r="A98" s="29" t="s">
        <v>54</v>
      </c>
      <c r="B98" s="29" t="s">
        <v>55</v>
      </c>
      <c r="C98" s="29" t="s">
        <v>57</v>
      </c>
      <c r="D98" s="29" t="s">
        <v>33</v>
      </c>
      <c r="E98" s="29">
        <v>39900</v>
      </c>
      <c r="F98" s="29">
        <v>39900</v>
      </c>
      <c r="G98" s="29"/>
      <c r="H98" s="29"/>
      <c r="I98" s="29">
        <v>39900</v>
      </c>
      <c r="J98" s="29">
        <v>39900</v>
      </c>
      <c r="K98" s="29">
        <v>39900</v>
      </c>
      <c r="L98" s="29">
        <v>39900</v>
      </c>
      <c r="M98" s="29">
        <v>39900</v>
      </c>
      <c r="N98" s="29"/>
      <c r="O98" s="29"/>
      <c r="P98" s="29">
        <v>39900</v>
      </c>
      <c r="Q98" s="29">
        <v>39900</v>
      </c>
      <c r="R98" s="29">
        <v>39900</v>
      </c>
      <c r="S98" s="29">
        <v>39900</v>
      </c>
      <c r="T98" s="29">
        <v>39900</v>
      </c>
      <c r="U98" s="29"/>
      <c r="V98" s="29"/>
      <c r="W98" s="29">
        <v>39900</v>
      </c>
      <c r="X98" s="29">
        <v>39900</v>
      </c>
      <c r="Y98" s="29">
        <v>39900</v>
      </c>
      <c r="Z98" s="29">
        <v>39900</v>
      </c>
      <c r="AA98" s="29">
        <v>39900</v>
      </c>
      <c r="AB98" s="29"/>
      <c r="AC98" s="29"/>
      <c r="AD98" s="29">
        <v>39900</v>
      </c>
      <c r="AE98" s="29">
        <v>39900</v>
      </c>
      <c r="AF98" s="29">
        <v>39900</v>
      </c>
      <c r="AG98" s="29">
        <v>39900</v>
      </c>
      <c r="AH98" s="29">
        <v>39900</v>
      </c>
      <c r="AI98" s="29"/>
      <c r="AJ98" s="29"/>
      <c r="AK98" s="30"/>
      <c r="AL98" s="29"/>
      <c r="AM98" s="29"/>
      <c r="AN98" s="29"/>
      <c r="AO98" s="29"/>
    </row>
    <row r="99" spans="1:41" ht="15.75" customHeight="1" x14ac:dyDescent="0.6">
      <c r="A99" s="29" t="s">
        <v>54</v>
      </c>
      <c r="B99" s="29" t="s">
        <v>55</v>
      </c>
      <c r="C99" s="29" t="s">
        <v>57</v>
      </c>
      <c r="D99" s="29" t="s">
        <v>52</v>
      </c>
      <c r="E99" s="29">
        <v>39900</v>
      </c>
      <c r="F99" s="29">
        <v>39900</v>
      </c>
      <c r="G99" s="29"/>
      <c r="H99" s="29"/>
      <c r="I99" s="29">
        <v>39900</v>
      </c>
      <c r="J99" s="29">
        <v>39900</v>
      </c>
      <c r="K99" s="29">
        <v>39900</v>
      </c>
      <c r="L99" s="29">
        <v>39900</v>
      </c>
      <c r="M99" s="29">
        <v>39900</v>
      </c>
      <c r="N99" s="29"/>
      <c r="O99" s="29"/>
      <c r="P99" s="29">
        <v>39900</v>
      </c>
      <c r="Q99" s="29">
        <v>39900</v>
      </c>
      <c r="R99" s="29">
        <v>39900</v>
      </c>
      <c r="S99" s="29">
        <v>39900</v>
      </c>
      <c r="T99" s="29">
        <v>39900</v>
      </c>
      <c r="U99" s="29"/>
      <c r="V99" s="29"/>
      <c r="W99" s="29">
        <v>39900</v>
      </c>
      <c r="X99" s="29">
        <v>39900</v>
      </c>
      <c r="Y99" s="29">
        <v>39900</v>
      </c>
      <c r="Z99" s="29">
        <v>39900</v>
      </c>
      <c r="AA99" s="29">
        <v>39900</v>
      </c>
      <c r="AB99" s="29"/>
      <c r="AC99" s="29"/>
      <c r="AD99" s="29">
        <v>39900</v>
      </c>
      <c r="AE99" s="29">
        <v>39900</v>
      </c>
      <c r="AF99" s="29">
        <v>39900</v>
      </c>
      <c r="AG99" s="29">
        <v>39900</v>
      </c>
      <c r="AH99" s="29">
        <v>39900</v>
      </c>
      <c r="AI99" s="29"/>
      <c r="AJ99" s="29"/>
      <c r="AK99" s="30"/>
      <c r="AL99" s="29"/>
      <c r="AM99" s="29"/>
      <c r="AN99" s="29"/>
      <c r="AO99" s="29"/>
    </row>
    <row r="100" spans="1:41" ht="15.75" customHeight="1" x14ac:dyDescent="0.6">
      <c r="A100" s="27" t="s">
        <v>54</v>
      </c>
      <c r="B100" s="27" t="s">
        <v>58</v>
      </c>
      <c r="C100" s="27" t="s">
        <v>56</v>
      </c>
      <c r="D100" s="27" t="s">
        <v>33</v>
      </c>
      <c r="E100" s="27"/>
      <c r="F100" s="27">
        <v>157500</v>
      </c>
      <c r="G100" s="27"/>
      <c r="H100" s="27"/>
      <c r="I100" s="27">
        <v>157500</v>
      </c>
      <c r="J100" s="27">
        <v>157500</v>
      </c>
      <c r="K100" s="27">
        <v>157500</v>
      </c>
      <c r="L100" s="27">
        <v>157500</v>
      </c>
      <c r="M100" s="27">
        <v>157500</v>
      </c>
      <c r="N100" s="27"/>
      <c r="O100" s="27"/>
      <c r="P100" s="27">
        <v>157500</v>
      </c>
      <c r="Q100" s="27">
        <v>157500</v>
      </c>
      <c r="R100" s="27">
        <v>157500</v>
      </c>
      <c r="S100" s="27">
        <v>157500</v>
      </c>
      <c r="T100" s="27">
        <v>157500</v>
      </c>
      <c r="U100" s="27"/>
      <c r="V100" s="27"/>
      <c r="W100" s="27">
        <v>157500</v>
      </c>
      <c r="X100" s="27">
        <v>157500</v>
      </c>
      <c r="Y100" s="27">
        <v>157500</v>
      </c>
      <c r="Z100" s="27">
        <v>157500</v>
      </c>
      <c r="AA100" s="27">
        <v>157500</v>
      </c>
      <c r="AB100" s="27"/>
      <c r="AC100" s="27"/>
      <c r="AD100" s="27"/>
      <c r="AE100" s="27">
        <v>157500</v>
      </c>
      <c r="AF100" s="27">
        <v>157500</v>
      </c>
      <c r="AG100" s="27">
        <v>157500</v>
      </c>
      <c r="AH100" s="27">
        <v>157500</v>
      </c>
      <c r="AI100" s="27"/>
      <c r="AJ100" s="27"/>
      <c r="AK100" s="28"/>
      <c r="AL100" s="27"/>
      <c r="AM100" s="27"/>
      <c r="AN100" s="27"/>
      <c r="AO100" s="27"/>
    </row>
    <row r="101" spans="1:41" ht="15.75" customHeight="1" x14ac:dyDescent="0.6">
      <c r="A101" s="27" t="s">
        <v>54</v>
      </c>
      <c r="B101" s="27" t="s">
        <v>58</v>
      </c>
      <c r="C101" s="27" t="s">
        <v>56</v>
      </c>
      <c r="D101" s="27" t="s">
        <v>38</v>
      </c>
      <c r="E101" s="27"/>
      <c r="F101" s="27"/>
      <c r="G101" s="27"/>
      <c r="H101" s="27"/>
      <c r="I101" s="27">
        <v>157500</v>
      </c>
      <c r="J101" s="27">
        <v>157500</v>
      </c>
      <c r="K101" s="27">
        <v>157500</v>
      </c>
      <c r="L101" s="27">
        <v>157500</v>
      </c>
      <c r="M101" s="27">
        <v>157500</v>
      </c>
      <c r="N101" s="27"/>
      <c r="O101" s="27"/>
      <c r="P101" s="27">
        <v>157500</v>
      </c>
      <c r="Q101" s="27">
        <v>157500</v>
      </c>
      <c r="R101" s="27">
        <v>157500</v>
      </c>
      <c r="S101" s="27">
        <v>157500</v>
      </c>
      <c r="T101" s="27">
        <v>157500</v>
      </c>
      <c r="U101" s="27"/>
      <c r="V101" s="27"/>
      <c r="W101" s="27">
        <v>157500</v>
      </c>
      <c r="X101" s="27">
        <v>157500</v>
      </c>
      <c r="Y101" s="27">
        <v>157500</v>
      </c>
      <c r="Z101" s="27">
        <v>157500</v>
      </c>
      <c r="AA101" s="27">
        <v>157500</v>
      </c>
      <c r="AB101" s="27"/>
      <c r="AC101" s="27"/>
      <c r="AD101" s="27"/>
      <c r="AE101" s="27">
        <v>157500</v>
      </c>
      <c r="AF101" s="27">
        <v>157500</v>
      </c>
      <c r="AG101" s="27">
        <v>157500</v>
      </c>
      <c r="AH101" s="27">
        <v>157500</v>
      </c>
      <c r="AI101" s="27"/>
      <c r="AJ101" s="27"/>
      <c r="AK101" s="28"/>
      <c r="AL101" s="27"/>
      <c r="AM101" s="27"/>
      <c r="AN101" s="27"/>
      <c r="AO101" s="27"/>
    </row>
    <row r="102" spans="1:41" ht="15.75" customHeight="1" x14ac:dyDescent="0.6">
      <c r="A102" s="27" t="s">
        <v>54</v>
      </c>
      <c r="B102" s="27" t="s">
        <v>58</v>
      </c>
      <c r="C102" s="27" t="s">
        <v>56</v>
      </c>
      <c r="D102" s="27" t="s">
        <v>51</v>
      </c>
      <c r="E102" s="27"/>
      <c r="F102" s="27"/>
      <c r="G102" s="27"/>
      <c r="H102" s="27"/>
      <c r="I102" s="27">
        <v>155000</v>
      </c>
      <c r="J102" s="27">
        <v>160000</v>
      </c>
      <c r="K102" s="27">
        <v>160000</v>
      </c>
      <c r="L102" s="27">
        <v>160000</v>
      </c>
      <c r="M102" s="27">
        <v>160000</v>
      </c>
      <c r="N102" s="27"/>
      <c r="O102" s="27"/>
      <c r="P102" s="27">
        <v>160000</v>
      </c>
      <c r="Q102" s="27">
        <v>160000</v>
      </c>
      <c r="R102" s="27">
        <v>160000</v>
      </c>
      <c r="S102" s="27">
        <v>160000</v>
      </c>
      <c r="T102" s="27">
        <v>160000</v>
      </c>
      <c r="U102" s="27"/>
      <c r="V102" s="27"/>
      <c r="W102" s="27">
        <v>160000</v>
      </c>
      <c r="X102" s="27">
        <v>160000</v>
      </c>
      <c r="Y102" s="27">
        <v>160000</v>
      </c>
      <c r="Z102" s="27">
        <v>155000</v>
      </c>
      <c r="AA102" s="27">
        <v>155000</v>
      </c>
      <c r="AB102" s="27"/>
      <c r="AC102" s="27"/>
      <c r="AD102" s="27"/>
      <c r="AE102" s="27">
        <v>155000</v>
      </c>
      <c r="AF102" s="27">
        <v>155000</v>
      </c>
      <c r="AG102" s="27">
        <v>155000</v>
      </c>
      <c r="AH102" s="27">
        <v>155000</v>
      </c>
      <c r="AI102" s="27"/>
      <c r="AJ102" s="27"/>
      <c r="AK102" s="28"/>
      <c r="AL102" s="27"/>
      <c r="AM102" s="27"/>
      <c r="AN102" s="27"/>
      <c r="AO102" s="27"/>
    </row>
    <row r="103" spans="1:41" ht="15.75" customHeight="1" x14ac:dyDescent="0.6">
      <c r="A103" s="27" t="s">
        <v>54</v>
      </c>
      <c r="B103" s="27" t="s">
        <v>58</v>
      </c>
      <c r="C103" s="27" t="s">
        <v>56</v>
      </c>
      <c r="D103" s="27" t="s">
        <v>52</v>
      </c>
      <c r="E103" s="27"/>
      <c r="F103" s="27"/>
      <c r="G103" s="27"/>
      <c r="H103" s="27"/>
      <c r="I103" s="27">
        <v>160000</v>
      </c>
      <c r="J103" s="27">
        <v>160000</v>
      </c>
      <c r="K103" s="27">
        <v>160000</v>
      </c>
      <c r="L103" s="27">
        <v>160000</v>
      </c>
      <c r="M103" s="27">
        <v>160000</v>
      </c>
      <c r="N103" s="27"/>
      <c r="O103" s="27"/>
      <c r="P103" s="27">
        <v>160000</v>
      </c>
      <c r="Q103" s="27">
        <v>160000</v>
      </c>
      <c r="R103" s="27">
        <v>160000</v>
      </c>
      <c r="S103" s="27">
        <v>160000</v>
      </c>
      <c r="T103" s="27">
        <v>160000</v>
      </c>
      <c r="U103" s="27"/>
      <c r="V103" s="27"/>
      <c r="W103" s="27">
        <v>160000</v>
      </c>
      <c r="X103" s="27">
        <v>160000</v>
      </c>
      <c r="Y103" s="27">
        <v>160000</v>
      </c>
      <c r="Z103" s="27">
        <v>160000</v>
      </c>
      <c r="AA103" s="27">
        <v>160000</v>
      </c>
      <c r="AB103" s="27"/>
      <c r="AC103" s="27"/>
      <c r="AD103" s="27"/>
      <c r="AE103" s="27">
        <v>160000</v>
      </c>
      <c r="AF103" s="27">
        <v>160000</v>
      </c>
      <c r="AG103" s="27">
        <v>160000</v>
      </c>
      <c r="AH103" s="27">
        <v>160000</v>
      </c>
      <c r="AI103" s="27"/>
      <c r="AJ103" s="27"/>
      <c r="AK103" s="28"/>
      <c r="AL103" s="27"/>
      <c r="AM103" s="27"/>
      <c r="AN103" s="27"/>
      <c r="AO103" s="27"/>
    </row>
    <row r="104" spans="1:41" ht="15.75" customHeight="1" x14ac:dyDescent="0.6">
      <c r="A104" s="29" t="s">
        <v>54</v>
      </c>
      <c r="B104" s="29" t="s">
        <v>58</v>
      </c>
      <c r="C104" s="29" t="s">
        <v>57</v>
      </c>
      <c r="D104" s="29" t="s">
        <v>33</v>
      </c>
      <c r="E104" s="29">
        <v>128000</v>
      </c>
      <c r="F104" s="29">
        <v>128000</v>
      </c>
      <c r="G104" s="29"/>
      <c r="H104" s="29"/>
      <c r="I104" s="29">
        <v>128000</v>
      </c>
      <c r="J104" s="29">
        <v>128000</v>
      </c>
      <c r="K104" s="29">
        <v>128000</v>
      </c>
      <c r="L104" s="29">
        <v>128000</v>
      </c>
      <c r="M104" s="29">
        <v>128000</v>
      </c>
      <c r="N104" s="29"/>
      <c r="O104" s="29"/>
      <c r="P104" s="29">
        <v>128000</v>
      </c>
      <c r="Q104" s="29">
        <v>128000</v>
      </c>
      <c r="R104" s="29">
        <v>128000</v>
      </c>
      <c r="S104" s="29">
        <v>128000</v>
      </c>
      <c r="T104" s="29">
        <v>128000</v>
      </c>
      <c r="U104" s="29"/>
      <c r="V104" s="29"/>
      <c r="W104" s="29">
        <v>128000</v>
      </c>
      <c r="X104" s="29">
        <v>128000</v>
      </c>
      <c r="Y104" s="29">
        <v>128000</v>
      </c>
      <c r="Z104" s="29">
        <v>128000</v>
      </c>
      <c r="AA104" s="29">
        <v>128000</v>
      </c>
      <c r="AB104" s="29"/>
      <c r="AC104" s="29"/>
      <c r="AD104" s="29">
        <v>128000</v>
      </c>
      <c r="AE104" s="29">
        <v>128000</v>
      </c>
      <c r="AF104" s="29">
        <v>128000</v>
      </c>
      <c r="AG104" s="29">
        <v>128000</v>
      </c>
      <c r="AH104" s="29">
        <v>128000</v>
      </c>
      <c r="AI104" s="29"/>
      <c r="AJ104" s="29"/>
      <c r="AK104" s="30"/>
      <c r="AL104" s="29"/>
      <c r="AM104" s="29"/>
      <c r="AN104" s="29"/>
      <c r="AO104" s="29"/>
    </row>
    <row r="105" spans="1:41" ht="15.75" customHeight="1" x14ac:dyDescent="0.6">
      <c r="A105" s="29" t="s">
        <v>54</v>
      </c>
      <c r="B105" s="29" t="s">
        <v>58</v>
      </c>
      <c r="C105" s="29" t="s">
        <v>57</v>
      </c>
      <c r="D105" s="29" t="s">
        <v>52</v>
      </c>
      <c r="E105" s="29"/>
      <c r="F105" s="29">
        <v>128000</v>
      </c>
      <c r="G105" s="29"/>
      <c r="H105" s="29"/>
      <c r="I105" s="29">
        <v>128000</v>
      </c>
      <c r="J105" s="29">
        <v>128000</v>
      </c>
      <c r="K105" s="29">
        <v>128000</v>
      </c>
      <c r="L105" s="29">
        <v>128000</v>
      </c>
      <c r="M105" s="29">
        <v>128000</v>
      </c>
      <c r="N105" s="29"/>
      <c r="O105" s="29"/>
      <c r="P105" s="29">
        <v>128000</v>
      </c>
      <c r="Q105" s="29">
        <v>128000</v>
      </c>
      <c r="R105" s="29">
        <v>128000</v>
      </c>
      <c r="S105" s="29">
        <v>128000</v>
      </c>
      <c r="T105" s="29">
        <v>128000</v>
      </c>
      <c r="U105" s="29"/>
      <c r="V105" s="29"/>
      <c r="W105" s="29">
        <v>128000</v>
      </c>
      <c r="X105" s="29">
        <v>128000</v>
      </c>
      <c r="Y105" s="29">
        <v>128000</v>
      </c>
      <c r="Z105" s="29">
        <v>128000</v>
      </c>
      <c r="AA105" s="29">
        <v>128000</v>
      </c>
      <c r="AB105" s="29"/>
      <c r="AC105" s="29"/>
      <c r="AD105" s="29">
        <v>128000</v>
      </c>
      <c r="AE105" s="29">
        <v>128000</v>
      </c>
      <c r="AF105" s="29">
        <v>128000</v>
      </c>
      <c r="AG105" s="29">
        <v>128000</v>
      </c>
      <c r="AH105" s="29">
        <v>128000</v>
      </c>
      <c r="AI105" s="29"/>
      <c r="AJ105" s="29"/>
      <c r="AK105" s="30"/>
      <c r="AL105" s="29"/>
      <c r="AM105" s="29"/>
      <c r="AN105" s="29"/>
      <c r="AO105" s="29"/>
    </row>
    <row r="106" spans="1:41" ht="15.75" customHeight="1" x14ac:dyDescent="0.6">
      <c r="A106" s="27" t="s">
        <v>54</v>
      </c>
      <c r="B106" s="27" t="s">
        <v>59</v>
      </c>
      <c r="C106" s="27" t="s">
        <v>56</v>
      </c>
      <c r="D106" s="27" t="s">
        <v>33</v>
      </c>
      <c r="E106" s="27"/>
      <c r="F106" s="27">
        <v>141650</v>
      </c>
      <c r="G106" s="27"/>
      <c r="H106" s="27"/>
      <c r="I106" s="27">
        <v>141650</v>
      </c>
      <c r="J106" s="27">
        <v>141650</v>
      </c>
      <c r="K106" s="27">
        <v>141650</v>
      </c>
      <c r="L106" s="27">
        <v>141650</v>
      </c>
      <c r="M106" s="27">
        <v>141650</v>
      </c>
      <c r="N106" s="27"/>
      <c r="O106" s="27"/>
      <c r="P106" s="27">
        <v>141650</v>
      </c>
      <c r="Q106" s="27">
        <v>141650</v>
      </c>
      <c r="R106" s="27">
        <v>141650</v>
      </c>
      <c r="S106" s="27">
        <v>141650</v>
      </c>
      <c r="T106" s="27">
        <v>141650</v>
      </c>
      <c r="U106" s="27"/>
      <c r="V106" s="27"/>
      <c r="W106" s="27">
        <v>141650</v>
      </c>
      <c r="X106" s="27">
        <v>141650</v>
      </c>
      <c r="Y106" s="27">
        <v>141650</v>
      </c>
      <c r="Z106" s="27">
        <v>141650</v>
      </c>
      <c r="AA106" s="27">
        <v>141650</v>
      </c>
      <c r="AB106" s="27"/>
      <c r="AC106" s="27"/>
      <c r="AD106" s="27"/>
      <c r="AE106" s="27">
        <v>141650</v>
      </c>
      <c r="AF106" s="27">
        <v>141650</v>
      </c>
      <c r="AG106" s="27">
        <v>141650</v>
      </c>
      <c r="AH106" s="27">
        <v>141650</v>
      </c>
      <c r="AI106" s="27"/>
      <c r="AJ106" s="27"/>
      <c r="AK106" s="28"/>
      <c r="AL106" s="27"/>
      <c r="AM106" s="27"/>
      <c r="AN106" s="27"/>
      <c r="AO106" s="27"/>
    </row>
    <row r="107" spans="1:41" ht="15.75" customHeight="1" x14ac:dyDescent="0.6">
      <c r="A107" s="27" t="s">
        <v>54</v>
      </c>
      <c r="B107" s="27" t="s">
        <v>59</v>
      </c>
      <c r="C107" s="27" t="s">
        <v>56</v>
      </c>
      <c r="D107" s="27" t="s">
        <v>38</v>
      </c>
      <c r="E107" s="27"/>
      <c r="F107" s="27"/>
      <c r="G107" s="27"/>
      <c r="H107" s="27"/>
      <c r="I107" s="27">
        <v>112500</v>
      </c>
      <c r="J107" s="27">
        <v>112500</v>
      </c>
      <c r="K107" s="27">
        <v>112500</v>
      </c>
      <c r="L107" s="27">
        <v>112500</v>
      </c>
      <c r="M107" s="27">
        <v>112500</v>
      </c>
      <c r="N107" s="27"/>
      <c r="O107" s="27"/>
      <c r="P107" s="27">
        <v>112500</v>
      </c>
      <c r="Q107" s="27">
        <v>112500</v>
      </c>
      <c r="R107" s="27">
        <v>112500</v>
      </c>
      <c r="S107" s="27">
        <v>112500</v>
      </c>
      <c r="T107" s="27">
        <v>112500</v>
      </c>
      <c r="U107" s="27"/>
      <c r="V107" s="27"/>
      <c r="W107" s="27">
        <v>112500</v>
      </c>
      <c r="X107" s="27">
        <v>112500</v>
      </c>
      <c r="Y107" s="27">
        <v>112500</v>
      </c>
      <c r="Z107" s="27">
        <v>112500</v>
      </c>
      <c r="AA107" s="27">
        <v>112500</v>
      </c>
      <c r="AB107" s="27"/>
      <c r="AC107" s="27"/>
      <c r="AD107" s="27"/>
      <c r="AE107" s="27">
        <v>112500</v>
      </c>
      <c r="AF107" s="27">
        <v>112500</v>
      </c>
      <c r="AG107" s="27">
        <v>112500</v>
      </c>
      <c r="AH107" s="27">
        <v>112500</v>
      </c>
      <c r="AI107" s="27"/>
      <c r="AJ107" s="27"/>
      <c r="AK107" s="28"/>
      <c r="AL107" s="27"/>
      <c r="AM107" s="27"/>
      <c r="AN107" s="27"/>
      <c r="AO107" s="27"/>
    </row>
    <row r="108" spans="1:41" ht="15.75" customHeight="1" x14ac:dyDescent="0.6">
      <c r="A108" s="27" t="s">
        <v>54</v>
      </c>
      <c r="B108" s="27" t="s">
        <v>59</v>
      </c>
      <c r="C108" s="27" t="s">
        <v>56</v>
      </c>
      <c r="D108" s="27" t="s">
        <v>51</v>
      </c>
      <c r="E108" s="27"/>
      <c r="F108" s="27"/>
      <c r="G108" s="27"/>
      <c r="H108" s="27"/>
      <c r="I108" s="27">
        <v>152500</v>
      </c>
      <c r="J108" s="27">
        <v>152500</v>
      </c>
      <c r="K108" s="27">
        <v>152500</v>
      </c>
      <c r="L108" s="27">
        <v>152500</v>
      </c>
      <c r="M108" s="27">
        <v>152500</v>
      </c>
      <c r="N108" s="27"/>
      <c r="O108" s="27"/>
      <c r="P108" s="27">
        <v>152500</v>
      </c>
      <c r="Q108" s="27">
        <v>152500</v>
      </c>
      <c r="R108" s="27">
        <v>152500</v>
      </c>
      <c r="S108" s="27">
        <v>152500</v>
      </c>
      <c r="T108" s="27">
        <v>152500</v>
      </c>
      <c r="U108" s="27"/>
      <c r="V108" s="27"/>
      <c r="W108" s="27">
        <v>152500</v>
      </c>
      <c r="X108" s="27">
        <v>152500</v>
      </c>
      <c r="Y108" s="27">
        <v>152500</v>
      </c>
      <c r="Z108" s="27">
        <v>152500</v>
      </c>
      <c r="AA108" s="27">
        <v>152500</v>
      </c>
      <c r="AB108" s="27"/>
      <c r="AC108" s="27"/>
      <c r="AD108" s="27"/>
      <c r="AE108" s="27">
        <v>152500</v>
      </c>
      <c r="AF108" s="27">
        <v>152500</v>
      </c>
      <c r="AG108" s="27">
        <v>152500</v>
      </c>
      <c r="AH108" s="27">
        <v>152500</v>
      </c>
      <c r="AI108" s="27"/>
      <c r="AJ108" s="27"/>
      <c r="AK108" s="28"/>
      <c r="AL108" s="27"/>
      <c r="AM108" s="27"/>
      <c r="AN108" s="27"/>
      <c r="AO108" s="27"/>
    </row>
    <row r="109" spans="1:41" ht="15.75" customHeight="1" x14ac:dyDescent="0.6">
      <c r="A109" s="27" t="s">
        <v>54</v>
      </c>
      <c r="B109" s="27" t="s">
        <v>59</v>
      </c>
      <c r="C109" s="27" t="s">
        <v>56</v>
      </c>
      <c r="D109" s="27" t="s">
        <v>52</v>
      </c>
      <c r="E109" s="27"/>
      <c r="F109" s="27"/>
      <c r="G109" s="27"/>
      <c r="H109" s="27"/>
      <c r="I109" s="27">
        <v>160000</v>
      </c>
      <c r="J109" s="27">
        <v>160000</v>
      </c>
      <c r="K109" s="27">
        <v>160000</v>
      </c>
      <c r="L109" s="27">
        <v>160000</v>
      </c>
      <c r="M109" s="27">
        <v>160000</v>
      </c>
      <c r="N109" s="27"/>
      <c r="O109" s="27"/>
      <c r="P109" s="27">
        <v>160000</v>
      </c>
      <c r="Q109" s="27">
        <v>160000</v>
      </c>
      <c r="R109" s="27">
        <v>160000</v>
      </c>
      <c r="S109" s="27">
        <v>160000</v>
      </c>
      <c r="T109" s="27">
        <v>160000</v>
      </c>
      <c r="U109" s="27"/>
      <c r="V109" s="27"/>
      <c r="W109" s="27">
        <v>160000</v>
      </c>
      <c r="X109" s="27">
        <v>160000</v>
      </c>
      <c r="Y109" s="27">
        <v>160000</v>
      </c>
      <c r="Z109" s="27">
        <v>160000</v>
      </c>
      <c r="AA109" s="27">
        <v>160000</v>
      </c>
      <c r="AB109" s="27"/>
      <c r="AC109" s="27"/>
      <c r="AD109" s="27"/>
      <c r="AE109" s="27">
        <v>160000</v>
      </c>
      <c r="AF109" s="27">
        <v>160000</v>
      </c>
      <c r="AG109" s="27">
        <v>160000</v>
      </c>
      <c r="AH109" s="27">
        <v>160000</v>
      </c>
      <c r="AI109" s="27"/>
      <c r="AJ109" s="27"/>
      <c r="AK109" s="28"/>
      <c r="AL109" s="27"/>
      <c r="AM109" s="27"/>
      <c r="AN109" s="27"/>
      <c r="AO109" s="27"/>
    </row>
    <row r="110" spans="1:41" ht="15.75" customHeight="1" x14ac:dyDescent="0.6">
      <c r="A110" s="29" t="s">
        <v>54</v>
      </c>
      <c r="B110" s="29" t="s">
        <v>59</v>
      </c>
      <c r="C110" s="29" t="s">
        <v>57</v>
      </c>
      <c r="D110" s="29" t="s">
        <v>33</v>
      </c>
      <c r="E110" s="29">
        <v>156000</v>
      </c>
      <c r="F110" s="29">
        <v>156000</v>
      </c>
      <c r="G110" s="29"/>
      <c r="H110" s="29"/>
      <c r="I110" s="29">
        <v>156000</v>
      </c>
      <c r="J110" s="29">
        <v>156000</v>
      </c>
      <c r="K110" s="29">
        <v>156000</v>
      </c>
      <c r="L110" s="29">
        <v>156000</v>
      </c>
      <c r="M110" s="29">
        <v>156000</v>
      </c>
      <c r="N110" s="29"/>
      <c r="O110" s="29"/>
      <c r="P110" s="29">
        <v>156000</v>
      </c>
      <c r="Q110" s="29">
        <v>156000</v>
      </c>
      <c r="R110" s="29">
        <v>156000</v>
      </c>
      <c r="S110" s="29">
        <v>156000</v>
      </c>
      <c r="T110" s="29">
        <v>156000</v>
      </c>
      <c r="U110" s="29"/>
      <c r="V110" s="29"/>
      <c r="W110" s="29">
        <v>156000</v>
      </c>
      <c r="X110" s="29">
        <v>156000</v>
      </c>
      <c r="Y110" s="29">
        <v>156000</v>
      </c>
      <c r="Z110" s="29">
        <v>156000</v>
      </c>
      <c r="AA110" s="29">
        <v>156000</v>
      </c>
      <c r="AB110" s="29"/>
      <c r="AC110" s="29"/>
      <c r="AD110" s="29">
        <v>156000</v>
      </c>
      <c r="AE110" s="29">
        <v>156000</v>
      </c>
      <c r="AF110" s="29">
        <v>156000</v>
      </c>
      <c r="AG110" s="29">
        <v>156000</v>
      </c>
      <c r="AH110" s="29">
        <v>156000</v>
      </c>
      <c r="AI110" s="29"/>
      <c r="AJ110" s="29"/>
      <c r="AK110" s="30"/>
      <c r="AL110" s="29"/>
      <c r="AM110" s="29"/>
      <c r="AN110" s="29"/>
      <c r="AO110" s="29"/>
    </row>
    <row r="111" spans="1:41" ht="15.75" customHeight="1" x14ac:dyDescent="0.6">
      <c r="A111" s="29" t="s">
        <v>54</v>
      </c>
      <c r="B111" s="29" t="s">
        <v>59</v>
      </c>
      <c r="C111" s="29" t="s">
        <v>57</v>
      </c>
      <c r="D111" s="29" t="s">
        <v>52</v>
      </c>
      <c r="E111" s="29">
        <v>156000</v>
      </c>
      <c r="F111" s="29">
        <v>156000</v>
      </c>
      <c r="G111" s="29"/>
      <c r="H111" s="29"/>
      <c r="I111" s="29">
        <v>156000</v>
      </c>
      <c r="J111" s="29">
        <v>156000</v>
      </c>
      <c r="K111" s="29">
        <v>156000</v>
      </c>
      <c r="L111" s="29">
        <v>156000</v>
      </c>
      <c r="M111" s="29">
        <v>156000</v>
      </c>
      <c r="N111" s="29"/>
      <c r="O111" s="29"/>
      <c r="P111" s="29">
        <v>156000</v>
      </c>
      <c r="Q111" s="29">
        <v>156000</v>
      </c>
      <c r="R111" s="29">
        <v>156000</v>
      </c>
      <c r="S111" s="29">
        <v>156000</v>
      </c>
      <c r="T111" s="29">
        <v>156000</v>
      </c>
      <c r="U111" s="29"/>
      <c r="V111" s="29"/>
      <c r="W111" s="29">
        <v>156000</v>
      </c>
      <c r="X111" s="29">
        <v>156000</v>
      </c>
      <c r="Y111" s="29">
        <v>156000</v>
      </c>
      <c r="Z111" s="29">
        <v>156000</v>
      </c>
      <c r="AA111" s="29">
        <v>156000</v>
      </c>
      <c r="AB111" s="29"/>
      <c r="AC111" s="29"/>
      <c r="AD111" s="29">
        <v>156000</v>
      </c>
      <c r="AE111" s="29">
        <v>156000</v>
      </c>
      <c r="AF111" s="29">
        <v>156000</v>
      </c>
      <c r="AG111" s="29">
        <v>156000</v>
      </c>
      <c r="AH111" s="29">
        <v>156000</v>
      </c>
      <c r="AI111" s="29"/>
      <c r="AJ111" s="29"/>
      <c r="AK111" s="30"/>
      <c r="AL111" s="29"/>
      <c r="AM111" s="29"/>
      <c r="AN111" s="29"/>
      <c r="AO111" s="29"/>
    </row>
    <row r="112" spans="1:41" ht="15.75" customHeight="1" x14ac:dyDescent="0.6">
      <c r="A112" s="27" t="s">
        <v>54</v>
      </c>
      <c r="B112" s="27" t="s">
        <v>60</v>
      </c>
      <c r="C112" s="27" t="s">
        <v>56</v>
      </c>
      <c r="D112" s="27" t="s">
        <v>33</v>
      </c>
      <c r="E112" s="27"/>
      <c r="F112" s="27">
        <v>34950</v>
      </c>
      <c r="G112" s="27"/>
      <c r="H112" s="27"/>
      <c r="I112" s="27">
        <v>34800</v>
      </c>
      <c r="J112" s="27">
        <v>34800</v>
      </c>
      <c r="K112" s="27">
        <v>34750</v>
      </c>
      <c r="L112" s="27">
        <v>34750</v>
      </c>
      <c r="M112" s="27">
        <v>34750</v>
      </c>
      <c r="N112" s="27"/>
      <c r="O112" s="27"/>
      <c r="P112" s="27">
        <v>34750</v>
      </c>
      <c r="Q112" s="27">
        <v>34750</v>
      </c>
      <c r="R112" s="27">
        <v>34750</v>
      </c>
      <c r="S112" s="27">
        <v>33900</v>
      </c>
      <c r="T112" s="27">
        <v>33900</v>
      </c>
      <c r="U112" s="27"/>
      <c r="V112" s="27"/>
      <c r="W112" s="27">
        <v>33800</v>
      </c>
      <c r="X112" s="27">
        <v>33800</v>
      </c>
      <c r="Y112" s="27">
        <v>33550</v>
      </c>
      <c r="Z112" s="27">
        <v>33550</v>
      </c>
      <c r="AA112" s="27">
        <v>33550</v>
      </c>
      <c r="AB112" s="27"/>
      <c r="AC112" s="27"/>
      <c r="AD112" s="27"/>
      <c r="AE112" s="27">
        <v>33250</v>
      </c>
      <c r="AF112" s="27">
        <v>33250</v>
      </c>
      <c r="AG112" s="27">
        <v>33250</v>
      </c>
      <c r="AH112" s="27">
        <v>32950</v>
      </c>
      <c r="AI112" s="27"/>
      <c r="AJ112" s="27"/>
      <c r="AK112" s="28"/>
      <c r="AL112" s="27"/>
      <c r="AM112" s="27"/>
      <c r="AN112" s="27"/>
      <c r="AO112" s="27"/>
    </row>
    <row r="113" spans="1:41" ht="15.75" customHeight="1" x14ac:dyDescent="0.6">
      <c r="A113" s="27" t="s">
        <v>54</v>
      </c>
      <c r="B113" s="27" t="s">
        <v>60</v>
      </c>
      <c r="C113" s="27" t="s">
        <v>56</v>
      </c>
      <c r="D113" s="27" t="s">
        <v>38</v>
      </c>
      <c r="E113" s="27"/>
      <c r="F113" s="27"/>
      <c r="G113" s="27"/>
      <c r="H113" s="27"/>
      <c r="I113" s="27">
        <v>36000</v>
      </c>
      <c r="J113" s="27">
        <v>36000</v>
      </c>
      <c r="K113" s="27">
        <v>36000</v>
      </c>
      <c r="L113" s="27">
        <v>36000</v>
      </c>
      <c r="M113" s="27">
        <v>36000</v>
      </c>
      <c r="N113" s="27"/>
      <c r="O113" s="27"/>
      <c r="P113" s="27">
        <v>36000</v>
      </c>
      <c r="Q113" s="27">
        <v>36000</v>
      </c>
      <c r="R113" s="27">
        <v>36000</v>
      </c>
      <c r="S113" s="27">
        <v>36000</v>
      </c>
      <c r="T113" s="27">
        <v>36000</v>
      </c>
      <c r="U113" s="27"/>
      <c r="V113" s="27"/>
      <c r="W113" s="27">
        <v>36000</v>
      </c>
      <c r="X113" s="27">
        <v>36000</v>
      </c>
      <c r="Y113" s="27">
        <v>36000</v>
      </c>
      <c r="Z113" s="27">
        <v>36000</v>
      </c>
      <c r="AA113" s="27">
        <v>36000</v>
      </c>
      <c r="AB113" s="27"/>
      <c r="AC113" s="27"/>
      <c r="AD113" s="27"/>
      <c r="AE113" s="27">
        <v>36000</v>
      </c>
      <c r="AF113" s="27">
        <v>36000</v>
      </c>
      <c r="AG113" s="27">
        <v>36000</v>
      </c>
      <c r="AH113" s="27">
        <v>36000</v>
      </c>
      <c r="AI113" s="27"/>
      <c r="AJ113" s="27"/>
      <c r="AK113" s="28"/>
      <c r="AL113" s="27"/>
      <c r="AM113" s="27"/>
      <c r="AN113" s="27"/>
      <c r="AO113" s="27"/>
    </row>
    <row r="114" spans="1:41" ht="15.75" customHeight="1" x14ac:dyDescent="0.6">
      <c r="A114" s="27" t="s">
        <v>54</v>
      </c>
      <c r="B114" s="27" t="s">
        <v>60</v>
      </c>
      <c r="C114" s="27" t="s">
        <v>56</v>
      </c>
      <c r="D114" s="27" t="s">
        <v>51</v>
      </c>
      <c r="E114" s="27"/>
      <c r="F114" s="27"/>
      <c r="G114" s="27"/>
      <c r="H114" s="27"/>
      <c r="I114" s="27">
        <v>35700</v>
      </c>
      <c r="J114" s="27">
        <v>35700</v>
      </c>
      <c r="K114" s="27">
        <v>35700</v>
      </c>
      <c r="L114" s="27">
        <v>35700</v>
      </c>
      <c r="M114" s="27">
        <v>35700</v>
      </c>
      <c r="N114" s="27"/>
      <c r="O114" s="27"/>
      <c r="P114" s="27">
        <v>35700</v>
      </c>
      <c r="Q114" s="27">
        <v>35700</v>
      </c>
      <c r="R114" s="27">
        <v>35700</v>
      </c>
      <c r="S114" s="27">
        <v>33700</v>
      </c>
      <c r="T114" s="27">
        <v>33700</v>
      </c>
      <c r="U114" s="27"/>
      <c r="V114" s="27"/>
      <c r="W114" s="27">
        <v>33700</v>
      </c>
      <c r="X114" s="27">
        <v>33700</v>
      </c>
      <c r="Y114" s="27">
        <v>33700</v>
      </c>
      <c r="Z114" s="27">
        <v>33700</v>
      </c>
      <c r="AA114" s="27">
        <v>33700</v>
      </c>
      <c r="AB114" s="27"/>
      <c r="AC114" s="27"/>
      <c r="AD114" s="27"/>
      <c r="AE114" s="27">
        <v>33700</v>
      </c>
      <c r="AF114" s="27">
        <v>33700</v>
      </c>
      <c r="AG114" s="27">
        <v>33700</v>
      </c>
      <c r="AH114" s="27">
        <v>33700</v>
      </c>
      <c r="AI114" s="27"/>
      <c r="AJ114" s="27"/>
      <c r="AK114" s="28"/>
      <c r="AL114" s="27"/>
      <c r="AM114" s="27"/>
      <c r="AN114" s="27"/>
      <c r="AO114" s="27"/>
    </row>
    <row r="115" spans="1:41" ht="15.75" customHeight="1" x14ac:dyDescent="0.6">
      <c r="A115" s="27" t="s">
        <v>54</v>
      </c>
      <c r="B115" s="27" t="s">
        <v>60</v>
      </c>
      <c r="C115" s="27" t="s">
        <v>56</v>
      </c>
      <c r="D115" s="27" t="s">
        <v>52</v>
      </c>
      <c r="E115" s="27"/>
      <c r="F115" s="27"/>
      <c r="G115" s="27"/>
      <c r="H115" s="27"/>
      <c r="I115" s="27">
        <v>32750</v>
      </c>
      <c r="J115" s="27">
        <v>32750</v>
      </c>
      <c r="K115" s="27">
        <v>32500</v>
      </c>
      <c r="L115" s="27">
        <v>32500</v>
      </c>
      <c r="M115" s="27">
        <v>32500</v>
      </c>
      <c r="N115" s="27"/>
      <c r="O115" s="27"/>
      <c r="P115" s="27">
        <v>32500</v>
      </c>
      <c r="Q115" s="27">
        <v>32500</v>
      </c>
      <c r="R115" s="27">
        <v>32500</v>
      </c>
      <c r="S115" s="27">
        <v>32000</v>
      </c>
      <c r="T115" s="27">
        <v>32000</v>
      </c>
      <c r="U115" s="27"/>
      <c r="V115" s="27"/>
      <c r="W115" s="27">
        <v>31750</v>
      </c>
      <c r="X115" s="27">
        <v>31750</v>
      </c>
      <c r="Y115" s="27">
        <v>31000</v>
      </c>
      <c r="Z115" s="27">
        <v>31000</v>
      </c>
      <c r="AA115" s="27">
        <v>31000</v>
      </c>
      <c r="AB115" s="27"/>
      <c r="AC115" s="27"/>
      <c r="AD115" s="27"/>
      <c r="AE115" s="27">
        <v>30000</v>
      </c>
      <c r="AF115" s="27">
        <v>30000</v>
      </c>
      <c r="AG115" s="27">
        <v>30000</v>
      </c>
      <c r="AH115" s="27">
        <v>30000</v>
      </c>
      <c r="AI115" s="27"/>
      <c r="AJ115" s="27"/>
      <c r="AK115" s="28"/>
      <c r="AL115" s="27"/>
      <c r="AM115" s="27"/>
      <c r="AN115" s="27"/>
      <c r="AO115" s="27"/>
    </row>
    <row r="116" spans="1:41" ht="15.75" customHeight="1" x14ac:dyDescent="0.6">
      <c r="A116" s="29" t="s">
        <v>54</v>
      </c>
      <c r="B116" s="27" t="s">
        <v>60</v>
      </c>
      <c r="C116" s="29" t="s">
        <v>57</v>
      </c>
      <c r="D116" s="29" t="s">
        <v>33</v>
      </c>
      <c r="E116" s="29">
        <v>34500</v>
      </c>
      <c r="F116" s="29">
        <v>34500</v>
      </c>
      <c r="G116" s="29"/>
      <c r="H116" s="29"/>
      <c r="I116" s="29">
        <v>34500</v>
      </c>
      <c r="J116" s="29">
        <v>34500</v>
      </c>
      <c r="K116" s="29">
        <v>34500</v>
      </c>
      <c r="L116" s="29">
        <v>34500</v>
      </c>
      <c r="M116" s="29">
        <v>34500</v>
      </c>
      <c r="N116" s="29"/>
      <c r="O116" s="29"/>
      <c r="P116" s="29">
        <v>34500</v>
      </c>
      <c r="Q116" s="29">
        <v>34500</v>
      </c>
      <c r="R116" s="29">
        <v>34500</v>
      </c>
      <c r="S116" s="29">
        <v>34500</v>
      </c>
      <c r="T116" s="29">
        <v>34500</v>
      </c>
      <c r="U116" s="29"/>
      <c r="V116" s="29"/>
      <c r="W116" s="29">
        <v>34500</v>
      </c>
      <c r="X116" s="29">
        <v>34500</v>
      </c>
      <c r="Y116" s="29">
        <v>34500</v>
      </c>
      <c r="Z116" s="29">
        <v>34500</v>
      </c>
      <c r="AA116" s="29">
        <v>34500</v>
      </c>
      <c r="AB116" s="29"/>
      <c r="AC116" s="29"/>
      <c r="AD116" s="29">
        <v>34500</v>
      </c>
      <c r="AE116" s="29">
        <v>34500</v>
      </c>
      <c r="AF116" s="29">
        <v>34500</v>
      </c>
      <c r="AG116" s="29">
        <v>34500</v>
      </c>
      <c r="AH116" s="29">
        <v>34500</v>
      </c>
      <c r="AI116" s="29"/>
      <c r="AJ116" s="29"/>
      <c r="AK116" s="30"/>
      <c r="AL116" s="29"/>
      <c r="AM116" s="29"/>
      <c r="AN116" s="29"/>
      <c r="AO116" s="29"/>
    </row>
    <row r="117" spans="1:41" ht="15.75" customHeight="1" x14ac:dyDescent="0.6">
      <c r="A117" s="29" t="s">
        <v>54</v>
      </c>
      <c r="B117" s="29" t="s">
        <v>60</v>
      </c>
      <c r="C117" s="29" t="s">
        <v>57</v>
      </c>
      <c r="D117" s="29" t="s">
        <v>52</v>
      </c>
      <c r="E117" s="29">
        <v>34500</v>
      </c>
      <c r="F117" s="29">
        <v>34500</v>
      </c>
      <c r="G117" s="29"/>
      <c r="H117" s="29"/>
      <c r="I117" s="29">
        <v>34500</v>
      </c>
      <c r="J117" s="29">
        <v>34500</v>
      </c>
      <c r="K117" s="29">
        <v>34500</v>
      </c>
      <c r="L117" s="29">
        <v>34500</v>
      </c>
      <c r="M117" s="29">
        <v>34500</v>
      </c>
      <c r="N117" s="29"/>
      <c r="O117" s="29"/>
      <c r="P117" s="29">
        <v>34500</v>
      </c>
      <c r="Q117" s="29">
        <v>34500</v>
      </c>
      <c r="R117" s="29">
        <v>34500</v>
      </c>
      <c r="S117" s="29">
        <v>34500</v>
      </c>
      <c r="T117" s="29">
        <v>34500</v>
      </c>
      <c r="U117" s="29"/>
      <c r="V117" s="29"/>
      <c r="W117" s="29">
        <v>34500</v>
      </c>
      <c r="X117" s="29">
        <v>34500</v>
      </c>
      <c r="Y117" s="29">
        <v>34500</v>
      </c>
      <c r="Z117" s="29">
        <v>34500</v>
      </c>
      <c r="AA117" s="29">
        <v>34500</v>
      </c>
      <c r="AB117" s="29"/>
      <c r="AC117" s="29"/>
      <c r="AD117" s="29">
        <v>34500</v>
      </c>
      <c r="AE117" s="29">
        <v>34500</v>
      </c>
      <c r="AF117" s="29">
        <v>34500</v>
      </c>
      <c r="AG117" s="29">
        <v>34500</v>
      </c>
      <c r="AH117" s="29">
        <v>34500</v>
      </c>
      <c r="AI117" s="29"/>
      <c r="AJ117" s="29"/>
      <c r="AK117" s="30"/>
      <c r="AL117" s="29"/>
      <c r="AM117" s="29"/>
      <c r="AN117" s="29"/>
      <c r="AO117" s="29"/>
    </row>
    <row r="118" spans="1:41" ht="15.75" customHeight="1" x14ac:dyDescent="0.6">
      <c r="A118" s="25" t="s">
        <v>61</v>
      </c>
      <c r="B118" s="25" t="s">
        <v>62</v>
      </c>
      <c r="C118" s="25" t="s">
        <v>63</v>
      </c>
      <c r="D118" s="25" t="s">
        <v>51</v>
      </c>
      <c r="E118" s="25"/>
      <c r="F118" s="25"/>
      <c r="G118" s="25"/>
      <c r="H118" s="25"/>
      <c r="I118" s="25"/>
      <c r="J118" s="31">
        <v>43000</v>
      </c>
      <c r="K118" s="31">
        <v>43000</v>
      </c>
      <c r="L118" s="25"/>
      <c r="M118" s="31">
        <v>43000</v>
      </c>
      <c r="N118" s="25"/>
      <c r="O118" s="25"/>
      <c r="P118" s="25"/>
      <c r="Q118" s="25"/>
      <c r="R118" s="25"/>
      <c r="S118" s="25">
        <v>45000</v>
      </c>
      <c r="T118" s="25"/>
      <c r="U118" s="25"/>
      <c r="V118" s="25"/>
      <c r="W118" s="25">
        <v>50000</v>
      </c>
      <c r="X118" s="25"/>
      <c r="Y118" s="25">
        <v>50000</v>
      </c>
      <c r="Z118" s="25">
        <v>50000</v>
      </c>
      <c r="AA118" s="25">
        <v>50000</v>
      </c>
      <c r="AB118" s="25"/>
      <c r="AC118" s="25"/>
      <c r="AD118" s="25">
        <v>50000</v>
      </c>
      <c r="AE118" s="25">
        <v>50000</v>
      </c>
      <c r="AF118" s="25">
        <v>50000</v>
      </c>
      <c r="AG118" s="25">
        <v>50000</v>
      </c>
      <c r="AH118" s="25">
        <v>50000</v>
      </c>
      <c r="AI118" s="25"/>
      <c r="AJ118" s="25"/>
      <c r="AK118" s="26"/>
      <c r="AL118" s="25"/>
      <c r="AM118" s="25"/>
      <c r="AN118" s="25"/>
      <c r="AO118" s="25"/>
    </row>
    <row r="119" spans="1:41" ht="15.75" customHeight="1" x14ac:dyDescent="0.6">
      <c r="A119" s="25" t="s">
        <v>61</v>
      </c>
      <c r="B119" s="25" t="s">
        <v>62</v>
      </c>
      <c r="C119" s="25" t="s">
        <v>64</v>
      </c>
      <c r="D119" s="25" t="s">
        <v>51</v>
      </c>
      <c r="E119" s="25"/>
      <c r="F119" s="25"/>
      <c r="G119" s="25"/>
      <c r="H119" s="25"/>
      <c r="I119" s="25"/>
      <c r="J119" s="31">
        <v>45000</v>
      </c>
      <c r="K119" s="31">
        <v>45000</v>
      </c>
      <c r="L119" s="25"/>
      <c r="M119" s="31">
        <v>45000</v>
      </c>
      <c r="N119" s="25"/>
      <c r="O119" s="25"/>
      <c r="P119" s="25"/>
      <c r="Q119" s="25"/>
      <c r="R119" s="25"/>
      <c r="S119" s="25">
        <v>45000</v>
      </c>
      <c r="T119" s="25"/>
      <c r="U119" s="25"/>
      <c r="V119" s="25"/>
      <c r="W119" s="25">
        <v>50000</v>
      </c>
      <c r="X119" s="25"/>
      <c r="Y119" s="25">
        <v>50000</v>
      </c>
      <c r="Z119" s="25">
        <v>50000</v>
      </c>
      <c r="AA119" s="25">
        <v>50000</v>
      </c>
      <c r="AB119" s="25"/>
      <c r="AC119" s="25"/>
      <c r="AD119" s="25">
        <v>50000</v>
      </c>
      <c r="AE119" s="25">
        <v>50000</v>
      </c>
      <c r="AF119" s="25">
        <v>50000</v>
      </c>
      <c r="AG119" s="25">
        <v>50000</v>
      </c>
      <c r="AH119" s="25">
        <v>45000</v>
      </c>
      <c r="AI119" s="25"/>
      <c r="AJ119" s="25"/>
      <c r="AK119" s="26"/>
      <c r="AL119" s="25"/>
      <c r="AM119" s="25"/>
      <c r="AN119" s="25"/>
      <c r="AO119" s="25"/>
    </row>
    <row r="120" spans="1:41" ht="15.75" customHeight="1" x14ac:dyDescent="0.6">
      <c r="A120" s="25" t="s">
        <v>61</v>
      </c>
      <c r="B120" s="25" t="s">
        <v>65</v>
      </c>
      <c r="C120" s="25" t="s">
        <v>63</v>
      </c>
      <c r="D120" s="25" t="s">
        <v>51</v>
      </c>
      <c r="E120" s="25"/>
      <c r="F120" s="25"/>
      <c r="G120" s="25"/>
      <c r="H120" s="25"/>
      <c r="I120" s="25"/>
      <c r="J120" s="31">
        <v>60000</v>
      </c>
      <c r="K120" s="31">
        <v>60000</v>
      </c>
      <c r="L120" s="25"/>
      <c r="M120" s="31">
        <v>60000</v>
      </c>
      <c r="N120" s="25"/>
      <c r="O120" s="25"/>
      <c r="P120" s="25"/>
      <c r="Q120" s="25"/>
      <c r="R120" s="25"/>
      <c r="S120" s="31">
        <v>60000</v>
      </c>
      <c r="T120" s="25"/>
      <c r="U120" s="25"/>
      <c r="V120" s="25"/>
      <c r="W120" s="25">
        <v>60000</v>
      </c>
      <c r="X120" s="25"/>
      <c r="Y120" s="25">
        <v>60000</v>
      </c>
      <c r="Z120" s="25">
        <v>60000</v>
      </c>
      <c r="AA120" s="25">
        <v>60000</v>
      </c>
      <c r="AB120" s="25"/>
      <c r="AC120" s="25"/>
      <c r="AD120" s="25">
        <v>60000</v>
      </c>
      <c r="AE120" s="25">
        <v>60000</v>
      </c>
      <c r="AF120" s="25">
        <v>60000</v>
      </c>
      <c r="AG120" s="25">
        <v>60000</v>
      </c>
      <c r="AH120" s="25">
        <v>60000</v>
      </c>
      <c r="AI120" s="25"/>
      <c r="AJ120" s="25"/>
      <c r="AK120" s="26"/>
      <c r="AL120" s="25"/>
      <c r="AM120" s="25"/>
      <c r="AN120" s="25"/>
      <c r="AO120" s="25"/>
    </row>
    <row r="121" spans="1:41" ht="15.75" customHeight="1" x14ac:dyDescent="0.6">
      <c r="A121" s="25" t="s">
        <v>61</v>
      </c>
      <c r="B121" s="25" t="s">
        <v>65</v>
      </c>
      <c r="C121" s="25" t="s">
        <v>64</v>
      </c>
      <c r="D121" s="25" t="s">
        <v>51</v>
      </c>
      <c r="E121" s="25"/>
      <c r="F121" s="25"/>
      <c r="G121" s="25"/>
      <c r="H121" s="25"/>
      <c r="I121" s="25"/>
      <c r="J121" s="31">
        <v>62000</v>
      </c>
      <c r="K121" s="31">
        <v>62000</v>
      </c>
      <c r="L121" s="25"/>
      <c r="M121" s="31">
        <v>62000</v>
      </c>
      <c r="N121" s="25"/>
      <c r="O121" s="25"/>
      <c r="P121" s="25"/>
      <c r="Q121" s="25"/>
      <c r="R121" s="25"/>
      <c r="S121" s="31">
        <v>62000</v>
      </c>
      <c r="T121" s="25"/>
      <c r="U121" s="25"/>
      <c r="V121" s="25"/>
      <c r="W121" s="25">
        <v>62000</v>
      </c>
      <c r="X121" s="25"/>
      <c r="Y121" s="25">
        <v>62000</v>
      </c>
      <c r="Z121" s="25">
        <v>62000</v>
      </c>
      <c r="AA121" s="25">
        <v>62000</v>
      </c>
      <c r="AB121" s="25"/>
      <c r="AC121" s="25"/>
      <c r="AD121" s="25">
        <v>62000</v>
      </c>
      <c r="AE121" s="25">
        <v>62000</v>
      </c>
      <c r="AF121" s="25">
        <v>62000</v>
      </c>
      <c r="AG121" s="25">
        <v>62000</v>
      </c>
      <c r="AH121" s="25">
        <v>62000</v>
      </c>
      <c r="AI121" s="25"/>
      <c r="AJ121" s="25"/>
      <c r="AK121" s="26"/>
      <c r="AL121" s="25"/>
      <c r="AM121" s="25"/>
      <c r="AN121" s="25"/>
      <c r="AO121" s="25"/>
    </row>
    <row r="122" spans="1:41" ht="15.75" customHeight="1" x14ac:dyDescent="0.6">
      <c r="A122" s="25" t="s">
        <v>61</v>
      </c>
      <c r="B122" s="25" t="s">
        <v>66</v>
      </c>
      <c r="C122" s="25" t="s">
        <v>63</v>
      </c>
      <c r="D122" s="25" t="s">
        <v>51</v>
      </c>
      <c r="E122" s="25"/>
      <c r="F122" s="25"/>
      <c r="G122" s="25"/>
      <c r="H122" s="25"/>
      <c r="I122" s="25"/>
      <c r="J122" s="31">
        <v>140000</v>
      </c>
      <c r="K122" s="31">
        <v>140000</v>
      </c>
      <c r="L122" s="25"/>
      <c r="M122" s="31">
        <v>140000</v>
      </c>
      <c r="N122" s="31"/>
      <c r="O122" s="25"/>
      <c r="P122" s="25"/>
      <c r="Q122" s="25"/>
      <c r="R122" s="25"/>
      <c r="S122" s="31">
        <v>140000</v>
      </c>
      <c r="T122" s="25"/>
      <c r="U122" s="25"/>
      <c r="V122" s="25"/>
      <c r="W122" s="25">
        <v>140000</v>
      </c>
      <c r="X122" s="25"/>
      <c r="Y122" s="25">
        <v>140000</v>
      </c>
      <c r="Z122" s="25">
        <v>140000</v>
      </c>
      <c r="AA122" s="25">
        <v>140000</v>
      </c>
      <c r="AB122" s="25"/>
      <c r="AC122" s="25"/>
      <c r="AD122" s="25">
        <v>140000</v>
      </c>
      <c r="AE122" s="25">
        <v>140000</v>
      </c>
      <c r="AF122" s="25">
        <v>140000</v>
      </c>
      <c r="AG122" s="25">
        <v>140000</v>
      </c>
      <c r="AH122" s="25">
        <v>140000</v>
      </c>
      <c r="AI122" s="25"/>
      <c r="AJ122" s="25"/>
      <c r="AK122" s="26"/>
      <c r="AL122" s="25"/>
      <c r="AM122" s="25"/>
      <c r="AN122" s="25"/>
      <c r="AO122" s="25"/>
    </row>
    <row r="123" spans="1:41" ht="15.75" customHeight="1" x14ac:dyDescent="0.6">
      <c r="A123" s="25" t="s">
        <v>61</v>
      </c>
      <c r="B123" s="25" t="s">
        <v>66</v>
      </c>
      <c r="C123" s="25" t="s">
        <v>64</v>
      </c>
      <c r="D123" s="25" t="s">
        <v>51</v>
      </c>
      <c r="E123" s="25"/>
      <c r="F123" s="25"/>
      <c r="G123" s="25"/>
      <c r="H123" s="25"/>
      <c r="I123" s="25"/>
      <c r="J123" s="31">
        <v>140000</v>
      </c>
      <c r="K123" s="31">
        <v>140000</v>
      </c>
      <c r="L123" s="25"/>
      <c r="M123" s="31">
        <v>140000</v>
      </c>
      <c r="N123" s="31"/>
      <c r="O123" s="25"/>
      <c r="P123" s="25"/>
      <c r="Q123" s="25"/>
      <c r="R123" s="25"/>
      <c r="S123" s="31">
        <v>140000</v>
      </c>
      <c r="T123" s="25"/>
      <c r="U123" s="25"/>
      <c r="V123" s="25"/>
      <c r="W123" s="25">
        <v>140000</v>
      </c>
      <c r="X123" s="25"/>
      <c r="Y123" s="25">
        <v>140000</v>
      </c>
      <c r="Z123" s="25">
        <v>140000</v>
      </c>
      <c r="AA123" s="25">
        <v>140000</v>
      </c>
      <c r="AB123" s="25"/>
      <c r="AC123" s="25"/>
      <c r="AD123" s="25">
        <v>140000</v>
      </c>
      <c r="AE123" s="25">
        <v>140000</v>
      </c>
      <c r="AF123" s="25">
        <v>140000</v>
      </c>
      <c r="AG123" s="25">
        <v>140000</v>
      </c>
      <c r="AH123" s="25">
        <v>140000</v>
      </c>
      <c r="AI123" s="25"/>
      <c r="AJ123" s="25"/>
      <c r="AK123" s="26"/>
      <c r="AL123" s="25"/>
      <c r="AM123" s="25"/>
      <c r="AN123" s="25"/>
      <c r="AO123" s="25"/>
    </row>
    <row r="124" spans="1:41" ht="15.75" customHeight="1" x14ac:dyDescent="0.6">
      <c r="A124" s="25" t="s">
        <v>61</v>
      </c>
      <c r="B124" s="25" t="s">
        <v>3</v>
      </c>
      <c r="C124" s="25" t="s">
        <v>63</v>
      </c>
      <c r="D124" s="25" t="s">
        <v>51</v>
      </c>
      <c r="E124" s="25"/>
      <c r="F124" s="25"/>
      <c r="G124" s="25"/>
      <c r="H124" s="25"/>
      <c r="I124" s="25"/>
      <c r="J124" s="31">
        <v>150000</v>
      </c>
      <c r="K124" s="31">
        <v>150000</v>
      </c>
      <c r="L124" s="25"/>
      <c r="M124" s="31">
        <v>150000</v>
      </c>
      <c r="N124" s="25"/>
      <c r="O124" s="25"/>
      <c r="P124" s="25"/>
      <c r="Q124" s="25"/>
      <c r="R124" s="25"/>
      <c r="S124" s="31">
        <v>150000</v>
      </c>
      <c r="T124" s="25"/>
      <c r="U124" s="25"/>
      <c r="V124" s="25"/>
      <c r="W124" s="25">
        <v>150000</v>
      </c>
      <c r="X124" s="25"/>
      <c r="Y124" s="25">
        <v>150000</v>
      </c>
      <c r="Z124" s="25">
        <v>150000</v>
      </c>
      <c r="AA124" s="25">
        <v>150000</v>
      </c>
      <c r="AB124" s="25"/>
      <c r="AC124" s="25"/>
      <c r="AD124" s="25">
        <v>150000</v>
      </c>
      <c r="AE124" s="25">
        <v>150000</v>
      </c>
      <c r="AF124" s="25">
        <v>150000</v>
      </c>
      <c r="AG124" s="25">
        <v>150000</v>
      </c>
      <c r="AH124" s="25">
        <v>150000</v>
      </c>
      <c r="AI124" s="25"/>
      <c r="AJ124" s="25"/>
      <c r="AK124" s="26"/>
      <c r="AL124" s="25"/>
      <c r="AM124" s="25"/>
      <c r="AN124" s="25"/>
      <c r="AO124" s="25"/>
    </row>
    <row r="125" spans="1:41" ht="15.75" customHeight="1" x14ac:dyDescent="0.6">
      <c r="A125" s="25" t="s">
        <v>61</v>
      </c>
      <c r="B125" s="25" t="s">
        <v>3</v>
      </c>
      <c r="C125" s="25" t="s">
        <v>64</v>
      </c>
      <c r="D125" s="25" t="s">
        <v>51</v>
      </c>
      <c r="E125" s="25"/>
      <c r="F125" s="25"/>
      <c r="G125" s="25"/>
      <c r="H125" s="25"/>
      <c r="I125" s="25"/>
      <c r="J125" s="31">
        <v>160000</v>
      </c>
      <c r="K125" s="31">
        <v>160000</v>
      </c>
      <c r="L125" s="25"/>
      <c r="M125" s="31">
        <v>160000</v>
      </c>
      <c r="N125" s="25"/>
      <c r="O125" s="25"/>
      <c r="P125" s="25"/>
      <c r="Q125" s="25"/>
      <c r="R125" s="25"/>
      <c r="S125" s="31">
        <v>160000</v>
      </c>
      <c r="T125" s="25"/>
      <c r="U125" s="25"/>
      <c r="V125" s="25"/>
      <c r="W125" s="25">
        <v>150000</v>
      </c>
      <c r="X125" s="25"/>
      <c r="Y125" s="25">
        <v>160000</v>
      </c>
      <c r="Z125" s="25">
        <v>160000</v>
      </c>
      <c r="AA125" s="25">
        <v>160000</v>
      </c>
      <c r="AB125" s="25"/>
      <c r="AC125" s="25"/>
      <c r="AD125" s="25">
        <v>160000</v>
      </c>
      <c r="AE125" s="25">
        <v>160000</v>
      </c>
      <c r="AF125" s="25">
        <v>160000</v>
      </c>
      <c r="AG125" s="25">
        <v>160000</v>
      </c>
      <c r="AH125" s="25">
        <v>160000</v>
      </c>
      <c r="AI125" s="25"/>
      <c r="AJ125" s="25"/>
      <c r="AK125" s="26"/>
      <c r="AL125" s="25"/>
      <c r="AM125" s="25"/>
      <c r="AN125" s="25"/>
      <c r="AO125" s="25"/>
    </row>
    <row r="126" spans="1:41" ht="15.75" customHeight="1" x14ac:dyDescent="0.6">
      <c r="A126" s="25" t="s">
        <v>61</v>
      </c>
      <c r="B126" s="25" t="s">
        <v>67</v>
      </c>
      <c r="C126" s="25" t="s">
        <v>63</v>
      </c>
      <c r="D126" s="25" t="s">
        <v>51</v>
      </c>
      <c r="E126" s="25"/>
      <c r="F126" s="25"/>
      <c r="G126" s="25"/>
      <c r="H126" s="25"/>
      <c r="I126" s="25"/>
      <c r="J126" s="31">
        <v>2300</v>
      </c>
      <c r="K126" s="31">
        <v>2300</v>
      </c>
      <c r="L126" s="25"/>
      <c r="M126" s="31">
        <v>2300</v>
      </c>
      <c r="N126" s="25"/>
      <c r="O126" s="25"/>
      <c r="P126" s="25"/>
      <c r="Q126" s="25"/>
      <c r="R126" s="25"/>
      <c r="S126" s="25">
        <v>2400</v>
      </c>
      <c r="T126" s="25"/>
      <c r="U126" s="25"/>
      <c r="V126" s="25"/>
      <c r="W126" s="25">
        <v>2400</v>
      </c>
      <c r="X126" s="25"/>
      <c r="Y126" s="25">
        <v>2400</v>
      </c>
      <c r="Z126" s="25">
        <v>2400</v>
      </c>
      <c r="AA126" s="25">
        <v>2300</v>
      </c>
      <c r="AB126" s="25"/>
      <c r="AC126" s="25"/>
      <c r="AD126" s="25">
        <v>2300</v>
      </c>
      <c r="AE126" s="25">
        <v>2300</v>
      </c>
      <c r="AF126" s="25">
        <v>2300</v>
      </c>
      <c r="AG126" s="25">
        <v>2300</v>
      </c>
      <c r="AH126" s="25">
        <v>2300</v>
      </c>
      <c r="AI126" s="25"/>
      <c r="AJ126" s="25"/>
      <c r="AK126" s="26"/>
      <c r="AL126" s="25"/>
      <c r="AM126" s="25"/>
      <c r="AN126" s="25"/>
      <c r="AO126" s="25"/>
    </row>
    <row r="127" spans="1:41" ht="15.75" customHeight="1" x14ac:dyDescent="0.6">
      <c r="A127" s="25" t="s">
        <v>61</v>
      </c>
      <c r="B127" s="25" t="s">
        <v>67</v>
      </c>
      <c r="C127" s="25" t="s">
        <v>64</v>
      </c>
      <c r="D127" s="25" t="s">
        <v>51</v>
      </c>
      <c r="E127" s="25"/>
      <c r="F127" s="25"/>
      <c r="G127" s="25"/>
      <c r="H127" s="25"/>
      <c r="I127" s="25"/>
      <c r="J127" s="31">
        <v>2400</v>
      </c>
      <c r="K127" s="31">
        <v>2400</v>
      </c>
      <c r="L127" s="25"/>
      <c r="M127" s="31">
        <v>2400</v>
      </c>
      <c r="N127" s="25"/>
      <c r="O127" s="25"/>
      <c r="P127" s="25"/>
      <c r="Q127" s="25"/>
      <c r="R127" s="25"/>
      <c r="S127" s="25">
        <v>2400</v>
      </c>
      <c r="T127" s="25"/>
      <c r="U127" s="25"/>
      <c r="V127" s="25"/>
      <c r="W127" s="25">
        <v>2400</v>
      </c>
      <c r="X127" s="25"/>
      <c r="Y127" s="25">
        <v>2400</v>
      </c>
      <c r="Z127" s="25">
        <v>2400</v>
      </c>
      <c r="AA127" s="25">
        <v>2400</v>
      </c>
      <c r="AB127" s="25"/>
      <c r="AC127" s="25"/>
      <c r="AD127" s="25">
        <v>2400</v>
      </c>
      <c r="AE127" s="25">
        <v>2400</v>
      </c>
      <c r="AF127" s="25">
        <v>2400</v>
      </c>
      <c r="AG127" s="25">
        <v>2400</v>
      </c>
      <c r="AH127" s="25">
        <v>2400</v>
      </c>
      <c r="AI127" s="25"/>
      <c r="AJ127" s="25"/>
      <c r="AK127" s="26"/>
      <c r="AL127" s="25"/>
      <c r="AM127" s="25"/>
      <c r="AN127" s="25"/>
      <c r="AO127" s="25"/>
    </row>
    <row r="128" spans="1:41" ht="15.75" customHeight="1" x14ac:dyDescent="0.6">
      <c r="A128" s="25" t="s">
        <v>61</v>
      </c>
      <c r="B128" s="25" t="s">
        <v>68</v>
      </c>
      <c r="C128" s="25" t="s">
        <v>63</v>
      </c>
      <c r="D128" s="25" t="s">
        <v>51</v>
      </c>
      <c r="E128" s="25"/>
      <c r="F128" s="25"/>
      <c r="G128" s="25"/>
      <c r="H128" s="25"/>
      <c r="I128" s="25"/>
      <c r="J128" s="31">
        <v>1900</v>
      </c>
      <c r="K128" s="31">
        <v>1900</v>
      </c>
      <c r="L128" s="25"/>
      <c r="M128" s="31">
        <v>1900</v>
      </c>
      <c r="N128" s="25"/>
      <c r="O128" s="25"/>
      <c r="P128" s="25"/>
      <c r="Q128" s="25"/>
      <c r="R128" s="25"/>
      <c r="S128" s="25">
        <v>1900</v>
      </c>
      <c r="T128" s="25"/>
      <c r="U128" s="25"/>
      <c r="V128" s="25"/>
      <c r="W128" s="25">
        <v>1800</v>
      </c>
      <c r="X128" s="25"/>
      <c r="Y128" s="25">
        <v>1800</v>
      </c>
      <c r="Z128" s="25">
        <v>1800</v>
      </c>
      <c r="AA128" s="25">
        <v>1800</v>
      </c>
      <c r="AB128" s="25"/>
      <c r="AC128" s="25"/>
      <c r="AD128" s="25">
        <v>1800</v>
      </c>
      <c r="AE128" s="25">
        <v>1800</v>
      </c>
      <c r="AF128" s="25">
        <v>1800</v>
      </c>
      <c r="AG128" s="25">
        <v>1800</v>
      </c>
      <c r="AH128" s="25">
        <v>1800</v>
      </c>
      <c r="AI128" s="25"/>
      <c r="AJ128" s="25"/>
      <c r="AK128" s="26"/>
      <c r="AL128" s="25"/>
      <c r="AM128" s="25"/>
      <c r="AN128" s="25"/>
      <c r="AO128" s="25"/>
    </row>
    <row r="129" spans="1:41" ht="15.75" customHeight="1" x14ac:dyDescent="0.6">
      <c r="A129" s="25" t="s">
        <v>61</v>
      </c>
      <c r="B129" s="25" t="s">
        <v>68</v>
      </c>
      <c r="C129" s="25" t="s">
        <v>64</v>
      </c>
      <c r="D129" s="25" t="s">
        <v>51</v>
      </c>
      <c r="E129" s="25"/>
      <c r="F129" s="25"/>
      <c r="G129" s="25"/>
      <c r="H129" s="25"/>
      <c r="I129" s="25"/>
      <c r="J129" s="31">
        <v>1900</v>
      </c>
      <c r="K129" s="31">
        <v>1900</v>
      </c>
      <c r="L129" s="25"/>
      <c r="M129" s="31">
        <v>1900</v>
      </c>
      <c r="N129" s="25"/>
      <c r="O129" s="25"/>
      <c r="P129" s="25"/>
      <c r="Q129" s="25"/>
      <c r="R129" s="25"/>
      <c r="S129" s="25">
        <v>1900</v>
      </c>
      <c r="T129" s="25"/>
      <c r="U129" s="25"/>
      <c r="V129" s="25"/>
      <c r="W129" s="25">
        <v>1900</v>
      </c>
      <c r="X129" s="25"/>
      <c r="Y129" s="25">
        <v>1900</v>
      </c>
      <c r="Z129" s="25">
        <v>1900</v>
      </c>
      <c r="AA129" s="25">
        <v>1800</v>
      </c>
      <c r="AB129" s="25"/>
      <c r="AC129" s="25"/>
      <c r="AD129" s="25">
        <v>1800</v>
      </c>
      <c r="AE129" s="25">
        <v>1800</v>
      </c>
      <c r="AF129" s="25">
        <v>1800</v>
      </c>
      <c r="AG129" s="25">
        <v>1500</v>
      </c>
      <c r="AH129" s="25">
        <v>1500</v>
      </c>
      <c r="AI129" s="25"/>
      <c r="AJ129" s="25"/>
      <c r="AK129" s="26"/>
      <c r="AL129" s="25"/>
      <c r="AM129" s="25"/>
      <c r="AN129" s="25"/>
      <c r="AO129" s="25"/>
    </row>
    <row r="130" spans="1:41" ht="15.75" customHeight="1" x14ac:dyDescent="0.6">
      <c r="A130" s="25" t="s">
        <v>61</v>
      </c>
      <c r="B130" s="25" t="s">
        <v>69</v>
      </c>
      <c r="C130" s="25" t="s">
        <v>63</v>
      </c>
      <c r="D130" s="25" t="s">
        <v>51</v>
      </c>
      <c r="E130" s="25"/>
      <c r="F130" s="25"/>
      <c r="G130" s="25"/>
      <c r="H130" s="25"/>
      <c r="I130" s="25"/>
      <c r="J130" s="31">
        <v>33600</v>
      </c>
      <c r="K130" s="31">
        <v>33600</v>
      </c>
      <c r="L130" s="25"/>
      <c r="M130" s="31">
        <v>33600</v>
      </c>
      <c r="N130" s="25"/>
      <c r="O130" s="25"/>
      <c r="P130" s="25"/>
      <c r="Q130" s="25"/>
      <c r="R130" s="25"/>
      <c r="S130" s="31">
        <v>33600</v>
      </c>
      <c r="T130" s="25"/>
      <c r="U130" s="25"/>
      <c r="V130" s="25"/>
      <c r="W130" s="25">
        <v>33600</v>
      </c>
      <c r="X130" s="25"/>
      <c r="Y130" s="25">
        <v>33600</v>
      </c>
      <c r="Z130" s="25">
        <v>33600</v>
      </c>
      <c r="AA130" s="25">
        <v>32800</v>
      </c>
      <c r="AB130" s="25"/>
      <c r="AC130" s="25"/>
      <c r="AD130" s="25">
        <v>32800</v>
      </c>
      <c r="AE130" s="25">
        <v>32800</v>
      </c>
      <c r="AF130" s="25">
        <v>32800</v>
      </c>
      <c r="AG130" s="25">
        <v>32800</v>
      </c>
      <c r="AH130" s="25">
        <v>32800</v>
      </c>
      <c r="AI130" s="25"/>
      <c r="AJ130" s="25"/>
      <c r="AK130" s="26"/>
      <c r="AL130" s="25"/>
      <c r="AM130" s="25"/>
      <c r="AN130" s="25"/>
      <c r="AO130" s="25"/>
    </row>
    <row r="131" spans="1:41" ht="15.75" customHeight="1" x14ac:dyDescent="0.6">
      <c r="A131" s="25" t="s">
        <v>61</v>
      </c>
      <c r="B131" s="25" t="s">
        <v>69</v>
      </c>
      <c r="C131" s="25" t="s">
        <v>64</v>
      </c>
      <c r="D131" s="25" t="s">
        <v>51</v>
      </c>
      <c r="E131" s="25"/>
      <c r="F131" s="25"/>
      <c r="G131" s="25"/>
      <c r="H131" s="25"/>
      <c r="I131" s="25"/>
      <c r="J131" s="31">
        <v>34400</v>
      </c>
      <c r="K131" s="31">
        <v>34400</v>
      </c>
      <c r="L131" s="25"/>
      <c r="M131" s="31">
        <v>34400</v>
      </c>
      <c r="N131" s="25"/>
      <c r="O131" s="25"/>
      <c r="P131" s="25"/>
      <c r="Q131" s="25"/>
      <c r="R131" s="25"/>
      <c r="S131" s="31">
        <v>33600</v>
      </c>
      <c r="T131" s="25"/>
      <c r="U131" s="25"/>
      <c r="V131" s="25"/>
      <c r="W131" s="25">
        <v>34400</v>
      </c>
      <c r="X131" s="25"/>
      <c r="Y131" s="25">
        <v>34400</v>
      </c>
      <c r="Z131" s="25">
        <v>34400</v>
      </c>
      <c r="AA131" s="25">
        <v>33600</v>
      </c>
      <c r="AB131" s="25"/>
      <c r="AC131" s="25"/>
      <c r="AD131" s="25">
        <v>33600</v>
      </c>
      <c r="AE131" s="25">
        <v>33600</v>
      </c>
      <c r="AF131" s="25">
        <v>33600</v>
      </c>
      <c r="AG131" s="25">
        <v>31200</v>
      </c>
      <c r="AH131" s="25">
        <v>31200</v>
      </c>
      <c r="AI131" s="25"/>
      <c r="AJ131" s="25"/>
      <c r="AK131" s="26"/>
      <c r="AL131" s="25"/>
      <c r="AM131" s="25"/>
      <c r="AN131" s="25"/>
      <c r="AO131" s="25"/>
    </row>
    <row r="132" spans="1:41" ht="15.75" customHeight="1" x14ac:dyDescent="0.6">
      <c r="A132" s="25" t="s">
        <v>61</v>
      </c>
      <c r="B132" s="25" t="s">
        <v>70</v>
      </c>
      <c r="C132" s="25" t="s">
        <v>63</v>
      </c>
      <c r="D132" s="25" t="s">
        <v>51</v>
      </c>
      <c r="E132" s="25"/>
      <c r="F132" s="25"/>
      <c r="G132" s="25"/>
      <c r="H132" s="25"/>
      <c r="I132" s="25"/>
      <c r="J132" s="31">
        <v>3300</v>
      </c>
      <c r="K132" s="31">
        <v>3300</v>
      </c>
      <c r="L132" s="25"/>
      <c r="M132" s="31">
        <v>3300</v>
      </c>
      <c r="N132" s="25"/>
      <c r="O132" s="25"/>
      <c r="P132" s="25"/>
      <c r="Q132" s="25"/>
      <c r="R132" s="25"/>
      <c r="S132" s="31">
        <v>3300</v>
      </c>
      <c r="T132" s="25"/>
      <c r="U132" s="25"/>
      <c r="V132" s="25"/>
      <c r="W132" s="25">
        <v>3300</v>
      </c>
      <c r="X132" s="25"/>
      <c r="Y132" s="25">
        <v>3300</v>
      </c>
      <c r="Z132" s="25">
        <v>3300</v>
      </c>
      <c r="AA132" s="25">
        <v>3300</v>
      </c>
      <c r="AB132" s="25"/>
      <c r="AC132" s="25"/>
      <c r="AD132" s="25">
        <v>3300</v>
      </c>
      <c r="AE132" s="25">
        <v>3300</v>
      </c>
      <c r="AF132" s="25">
        <v>3300</v>
      </c>
      <c r="AG132" s="25">
        <v>3300</v>
      </c>
      <c r="AH132" s="25">
        <v>3300</v>
      </c>
      <c r="AI132" s="25"/>
      <c r="AJ132" s="25"/>
      <c r="AK132" s="26"/>
      <c r="AL132" s="25"/>
      <c r="AM132" s="25"/>
      <c r="AN132" s="25"/>
      <c r="AO132" s="25"/>
    </row>
    <row r="133" spans="1:41" ht="15.75" customHeight="1" x14ac:dyDescent="0.6">
      <c r="A133" s="25" t="s">
        <v>61</v>
      </c>
      <c r="B133" s="25" t="s">
        <v>70</v>
      </c>
      <c r="C133" s="25" t="s">
        <v>64</v>
      </c>
      <c r="D133" s="25" t="s">
        <v>51</v>
      </c>
      <c r="E133" s="25"/>
      <c r="F133" s="25"/>
      <c r="G133" s="25"/>
      <c r="H133" s="25"/>
      <c r="I133" s="25"/>
      <c r="J133" s="31">
        <v>3500</v>
      </c>
      <c r="K133" s="31">
        <v>3500</v>
      </c>
      <c r="L133" s="25"/>
      <c r="M133" s="31">
        <v>3500</v>
      </c>
      <c r="N133" s="25"/>
      <c r="O133" s="25"/>
      <c r="P133" s="25"/>
      <c r="Q133" s="25"/>
      <c r="R133" s="25"/>
      <c r="S133" s="31">
        <v>3500</v>
      </c>
      <c r="T133" s="25"/>
      <c r="U133" s="25"/>
      <c r="V133" s="25"/>
      <c r="W133" s="25">
        <v>3500</v>
      </c>
      <c r="X133" s="25"/>
      <c r="Y133" s="25">
        <v>3500</v>
      </c>
      <c r="Z133" s="25">
        <v>3500</v>
      </c>
      <c r="AA133" s="25">
        <v>3500</v>
      </c>
      <c r="AB133" s="25"/>
      <c r="AC133" s="25"/>
      <c r="AD133" s="25">
        <v>3500</v>
      </c>
      <c r="AE133" s="25">
        <v>3500</v>
      </c>
      <c r="AF133" s="25">
        <v>3500</v>
      </c>
      <c r="AG133" s="25">
        <v>3500</v>
      </c>
      <c r="AH133" s="25">
        <v>3500</v>
      </c>
      <c r="AI133" s="25"/>
      <c r="AJ133" s="25"/>
      <c r="AK133" s="26"/>
      <c r="AL133" s="25"/>
      <c r="AM133" s="25"/>
      <c r="AN133" s="25"/>
      <c r="AO133" s="25"/>
    </row>
    <row r="134" spans="1:41" ht="15.75" customHeight="1" x14ac:dyDescent="0.6">
      <c r="A134" s="25" t="s">
        <v>61</v>
      </c>
      <c r="B134" s="25" t="s">
        <v>71</v>
      </c>
      <c r="C134" s="25" t="s">
        <v>63</v>
      </c>
      <c r="D134" s="25" t="s">
        <v>51</v>
      </c>
      <c r="E134" s="25"/>
      <c r="F134" s="25"/>
      <c r="G134" s="25"/>
      <c r="H134" s="25"/>
      <c r="I134" s="25"/>
      <c r="J134" s="31">
        <v>3500</v>
      </c>
      <c r="K134" s="31">
        <v>3500</v>
      </c>
      <c r="L134" s="25"/>
      <c r="M134" s="31">
        <v>3500</v>
      </c>
      <c r="N134" s="25"/>
      <c r="O134" s="25"/>
      <c r="P134" s="25"/>
      <c r="Q134" s="25"/>
      <c r="R134" s="25"/>
      <c r="S134" s="31">
        <v>3500</v>
      </c>
      <c r="T134" s="25"/>
      <c r="U134" s="25"/>
      <c r="V134" s="25"/>
      <c r="W134" s="25">
        <v>3500</v>
      </c>
      <c r="X134" s="25"/>
      <c r="Y134" s="25">
        <v>3500</v>
      </c>
      <c r="Z134" s="25">
        <v>3500</v>
      </c>
      <c r="AA134" s="25">
        <v>3500</v>
      </c>
      <c r="AB134" s="25"/>
      <c r="AC134" s="25"/>
      <c r="AD134" s="25">
        <v>3500</v>
      </c>
      <c r="AE134" s="25">
        <v>3500</v>
      </c>
      <c r="AF134" s="25">
        <v>3500</v>
      </c>
      <c r="AG134" s="25">
        <v>3500</v>
      </c>
      <c r="AH134" s="25">
        <v>3500</v>
      </c>
      <c r="AI134" s="25"/>
      <c r="AJ134" s="25"/>
      <c r="AK134" s="26"/>
      <c r="AL134" s="25"/>
      <c r="AM134" s="25"/>
      <c r="AN134" s="25"/>
      <c r="AO134" s="25"/>
    </row>
    <row r="135" spans="1:41" ht="15.75" customHeight="1" x14ac:dyDescent="0.6">
      <c r="A135" s="25" t="s">
        <v>61</v>
      </c>
      <c r="B135" s="25" t="s">
        <v>71</v>
      </c>
      <c r="C135" s="25" t="s">
        <v>64</v>
      </c>
      <c r="D135" s="25" t="s">
        <v>51</v>
      </c>
      <c r="E135" s="25"/>
      <c r="F135" s="25"/>
      <c r="G135" s="25"/>
      <c r="H135" s="25"/>
      <c r="I135" s="25"/>
      <c r="J135" s="31">
        <v>3500</v>
      </c>
      <c r="K135" s="31">
        <v>3500</v>
      </c>
      <c r="L135" s="25"/>
      <c r="M135" s="31">
        <v>3500</v>
      </c>
      <c r="N135" s="25"/>
      <c r="O135" s="25"/>
      <c r="P135" s="25"/>
      <c r="Q135" s="25"/>
      <c r="R135" s="25"/>
      <c r="S135" s="31">
        <v>3500</v>
      </c>
      <c r="T135" s="25"/>
      <c r="U135" s="25"/>
      <c r="V135" s="25"/>
      <c r="W135" s="25">
        <v>3500</v>
      </c>
      <c r="X135" s="25"/>
      <c r="Y135" s="25">
        <v>3500</v>
      </c>
      <c r="Z135" s="25">
        <v>3500</v>
      </c>
      <c r="AA135" s="25">
        <v>3500</v>
      </c>
      <c r="AB135" s="25"/>
      <c r="AC135" s="25"/>
      <c r="AD135" s="25">
        <v>3500</v>
      </c>
      <c r="AE135" s="25">
        <v>3500</v>
      </c>
      <c r="AF135" s="25">
        <v>3500</v>
      </c>
      <c r="AG135" s="25">
        <v>3500</v>
      </c>
      <c r="AH135" s="25">
        <v>4000</v>
      </c>
      <c r="AI135" s="25"/>
      <c r="AJ135" s="25"/>
      <c r="AK135" s="26"/>
      <c r="AL135" s="25"/>
      <c r="AM135" s="25"/>
      <c r="AN135" s="25"/>
      <c r="AO135" s="25"/>
    </row>
    <row r="136" spans="1:41" ht="15.75" customHeight="1" x14ac:dyDescent="0.6">
      <c r="A136" s="25"/>
      <c r="B136" s="25"/>
      <c r="C136" s="25"/>
      <c r="D136" s="25"/>
      <c r="E136" s="25"/>
      <c r="F136" s="25"/>
      <c r="G136" s="25"/>
      <c r="H136" s="25"/>
      <c r="I136" s="25"/>
      <c r="J136" s="31"/>
      <c r="K136" s="31"/>
      <c r="L136" s="25"/>
      <c r="M136" s="31"/>
      <c r="N136" s="25"/>
      <c r="O136" s="25"/>
      <c r="P136" s="25"/>
      <c r="Q136" s="25"/>
      <c r="R136" s="25"/>
      <c r="S136" s="32"/>
      <c r="T136" s="33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6"/>
      <c r="AL136" s="25"/>
      <c r="AM136" s="25"/>
      <c r="AN136" s="25"/>
      <c r="AO136" s="25"/>
    </row>
    <row r="137" spans="1:41" ht="15.75" customHeight="1" x14ac:dyDescent="0.6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33"/>
      <c r="T137" s="33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6"/>
      <c r="AL137" s="25"/>
      <c r="AM137" s="25"/>
      <c r="AN137" s="25"/>
      <c r="AO137" s="25"/>
    </row>
    <row r="138" spans="1:41" ht="15.75" customHeight="1" x14ac:dyDescent="0.6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33"/>
      <c r="T138" s="33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6"/>
      <c r="AL138" s="25"/>
      <c r="AM138" s="25"/>
      <c r="AN138" s="25"/>
      <c r="AO138" s="25"/>
    </row>
    <row r="139" spans="1:41" ht="15.75" customHeight="1" x14ac:dyDescent="0.6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33"/>
      <c r="T139" s="33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6"/>
      <c r="AL139" s="25"/>
      <c r="AM139" s="25"/>
      <c r="AN139" s="25"/>
      <c r="AO139" s="25"/>
    </row>
    <row r="140" spans="1:41" ht="15.75" customHeight="1" x14ac:dyDescent="0.6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33"/>
      <c r="T140" s="3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6"/>
      <c r="AL140" s="25"/>
      <c r="AM140" s="25"/>
      <c r="AN140" s="25"/>
      <c r="AO140" s="25"/>
    </row>
    <row r="141" spans="1:41" ht="15.75" customHeight="1" x14ac:dyDescent="0.6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33"/>
      <c r="T141" s="33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6"/>
      <c r="AL141" s="25"/>
      <c r="AM141" s="25"/>
      <c r="AN141" s="25"/>
      <c r="AO141" s="25"/>
    </row>
    <row r="142" spans="1:41" ht="15.75" customHeight="1" x14ac:dyDescent="0.6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33"/>
      <c r="T142" s="33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6"/>
      <c r="AL142" s="25"/>
      <c r="AM142" s="25"/>
      <c r="AN142" s="25"/>
      <c r="AO142" s="25"/>
    </row>
    <row r="143" spans="1:41" ht="15.75" customHeight="1" x14ac:dyDescent="0.6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33"/>
      <c r="T143" s="33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6"/>
      <c r="AL143" s="25"/>
      <c r="AM143" s="25"/>
      <c r="AN143" s="25"/>
      <c r="AO143" s="25"/>
    </row>
    <row r="144" spans="1:41" ht="15.75" customHeight="1" x14ac:dyDescent="0.6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4"/>
      <c r="AL144" s="33"/>
      <c r="AM144" s="33"/>
      <c r="AN144" s="33"/>
      <c r="AO144" s="33"/>
    </row>
    <row r="145" spans="1:41" ht="15.75" customHeight="1" x14ac:dyDescent="0.6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4"/>
      <c r="AL145" s="33"/>
      <c r="AM145" s="33"/>
      <c r="AN145" s="33"/>
      <c r="AO145" s="33"/>
    </row>
    <row r="146" spans="1:41" ht="15.75" customHeight="1" x14ac:dyDescent="0.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4"/>
      <c r="AL146" s="33"/>
      <c r="AM146" s="33"/>
      <c r="AN146" s="33"/>
      <c r="AO146" s="33"/>
    </row>
    <row r="147" spans="1:41" ht="15.75" customHeight="1" x14ac:dyDescent="0.6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4"/>
      <c r="AL147" s="33"/>
      <c r="AM147" s="33"/>
      <c r="AN147" s="33"/>
      <c r="AO147" s="33"/>
    </row>
    <row r="148" spans="1:41" ht="15.75" customHeight="1" x14ac:dyDescent="0.6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4"/>
      <c r="AL148" s="33"/>
      <c r="AM148" s="33"/>
      <c r="AN148" s="33"/>
      <c r="AO148" s="33"/>
    </row>
    <row r="149" spans="1:41" ht="15.75" customHeight="1" x14ac:dyDescent="0.6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4"/>
      <c r="AL149" s="33"/>
      <c r="AM149" s="33"/>
      <c r="AN149" s="33"/>
      <c r="AO149" s="33"/>
    </row>
    <row r="150" spans="1:41" ht="15.75" customHeight="1" x14ac:dyDescent="0.6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4"/>
      <c r="AL150" s="33"/>
      <c r="AM150" s="33"/>
      <c r="AN150" s="33"/>
      <c r="AO150" s="33"/>
    </row>
    <row r="151" spans="1:41" ht="15.75" customHeight="1" x14ac:dyDescent="0.6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4"/>
      <c r="AL151" s="33"/>
      <c r="AM151" s="33"/>
      <c r="AN151" s="33"/>
      <c r="AO151" s="33"/>
    </row>
    <row r="152" spans="1:41" ht="15.75" customHeight="1" x14ac:dyDescent="0.6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4"/>
      <c r="AL152" s="33"/>
      <c r="AM152" s="33"/>
      <c r="AN152" s="33"/>
      <c r="AO152" s="33"/>
    </row>
    <row r="153" spans="1:41" ht="15.75" customHeight="1" x14ac:dyDescent="0.6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4"/>
      <c r="AL153" s="33"/>
      <c r="AM153" s="33"/>
      <c r="AN153" s="33"/>
      <c r="AO153" s="33"/>
    </row>
    <row r="154" spans="1:41" ht="15.75" customHeight="1" x14ac:dyDescent="0.6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4"/>
      <c r="AL154" s="33"/>
      <c r="AM154" s="33"/>
      <c r="AN154" s="33"/>
      <c r="AO154" s="33"/>
    </row>
    <row r="155" spans="1:41" ht="15.75" customHeight="1" x14ac:dyDescent="0.6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4"/>
      <c r="AL155" s="33"/>
      <c r="AM155" s="33"/>
      <c r="AN155" s="33"/>
      <c r="AO155" s="33"/>
    </row>
    <row r="156" spans="1:41" ht="15.75" customHeight="1" x14ac:dyDescent="0.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4"/>
      <c r="AL156" s="33"/>
      <c r="AM156" s="33"/>
      <c r="AN156" s="33"/>
      <c r="AO156" s="33"/>
    </row>
    <row r="157" spans="1:41" ht="15.75" customHeight="1" x14ac:dyDescent="0.6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4"/>
      <c r="AL157" s="33"/>
      <c r="AM157" s="33"/>
      <c r="AN157" s="33"/>
      <c r="AO157" s="33"/>
    </row>
    <row r="158" spans="1:41" ht="15.75" customHeight="1" x14ac:dyDescent="0.6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4"/>
      <c r="AL158" s="33"/>
      <c r="AM158" s="33"/>
      <c r="AN158" s="33"/>
      <c r="AO158" s="33"/>
    </row>
    <row r="159" spans="1:41" ht="15.75" customHeight="1" x14ac:dyDescent="0.6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4"/>
      <c r="AL159" s="33"/>
      <c r="AM159" s="33"/>
      <c r="AN159" s="33"/>
      <c r="AO159" s="33"/>
    </row>
    <row r="160" spans="1:41" ht="15.75" customHeight="1" x14ac:dyDescent="0.6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4"/>
      <c r="AL160" s="33"/>
      <c r="AM160" s="33"/>
      <c r="AN160" s="33"/>
      <c r="AO160" s="33"/>
    </row>
    <row r="161" spans="1:41" ht="15.75" customHeight="1" x14ac:dyDescent="0.6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4"/>
      <c r="AL161" s="33"/>
      <c r="AM161" s="33"/>
      <c r="AN161" s="33"/>
      <c r="AO161" s="33"/>
    </row>
    <row r="162" spans="1:41" ht="15.75" customHeight="1" x14ac:dyDescent="0.6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4"/>
      <c r="AL162" s="33"/>
      <c r="AM162" s="33"/>
      <c r="AN162" s="33"/>
      <c r="AO162" s="33"/>
    </row>
    <row r="163" spans="1:41" ht="15.75" customHeight="1" x14ac:dyDescent="0.6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4"/>
      <c r="AL163" s="33"/>
      <c r="AM163" s="33"/>
      <c r="AN163" s="33"/>
      <c r="AO163" s="33"/>
    </row>
    <row r="164" spans="1:41" ht="15.75" customHeight="1" x14ac:dyDescent="0.6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4"/>
      <c r="AL164" s="33"/>
      <c r="AM164" s="33"/>
      <c r="AN164" s="33"/>
      <c r="AO164" s="33"/>
    </row>
    <row r="165" spans="1:41" ht="15.75" customHeight="1" x14ac:dyDescent="0.6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4"/>
      <c r="AL165" s="33"/>
      <c r="AM165" s="33"/>
      <c r="AN165" s="33"/>
      <c r="AO165" s="33"/>
    </row>
    <row r="166" spans="1:41" ht="15.75" customHeight="1" x14ac:dyDescent="0.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4"/>
      <c r="AL166" s="33"/>
      <c r="AM166" s="33"/>
      <c r="AN166" s="33"/>
      <c r="AO166" s="33"/>
    </row>
    <row r="167" spans="1:41" ht="15.75" customHeight="1" x14ac:dyDescent="0.6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4"/>
      <c r="AL167" s="33"/>
      <c r="AM167" s="33"/>
      <c r="AN167" s="33"/>
      <c r="AO167" s="33"/>
    </row>
    <row r="168" spans="1:41" ht="15.75" customHeight="1" x14ac:dyDescent="0.6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4"/>
      <c r="AL168" s="33"/>
      <c r="AM168" s="33"/>
      <c r="AN168" s="33"/>
      <c r="AO168" s="33"/>
    </row>
    <row r="169" spans="1:41" ht="15.75" customHeight="1" x14ac:dyDescent="0.6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4"/>
      <c r="AL169" s="33"/>
      <c r="AM169" s="33"/>
      <c r="AN169" s="33"/>
      <c r="AO169" s="33"/>
    </row>
    <row r="170" spans="1:41" ht="15.75" customHeight="1" x14ac:dyDescent="0.6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4"/>
      <c r="AL170" s="33"/>
      <c r="AM170" s="33"/>
      <c r="AN170" s="33"/>
      <c r="AO170" s="33"/>
    </row>
    <row r="171" spans="1:41" ht="15.75" customHeight="1" x14ac:dyDescent="0.6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4"/>
      <c r="AL171" s="33"/>
      <c r="AM171" s="33"/>
      <c r="AN171" s="33"/>
      <c r="AO171" s="33"/>
    </row>
    <row r="172" spans="1:41" ht="15.75" customHeight="1" x14ac:dyDescent="0.6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4"/>
      <c r="AL172" s="33"/>
      <c r="AM172" s="33"/>
      <c r="AN172" s="33"/>
      <c r="AO172" s="33"/>
    </row>
    <row r="173" spans="1:41" ht="15.75" customHeight="1" x14ac:dyDescent="0.6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4"/>
      <c r="AL173" s="33"/>
      <c r="AM173" s="33"/>
      <c r="AN173" s="33"/>
      <c r="AO173" s="33"/>
    </row>
    <row r="174" spans="1:41" ht="15.75" customHeight="1" x14ac:dyDescent="0.6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4"/>
      <c r="AL174" s="33"/>
      <c r="AM174" s="33"/>
      <c r="AN174" s="33"/>
      <c r="AO174" s="33"/>
    </row>
    <row r="175" spans="1:41" ht="15.75" customHeight="1" x14ac:dyDescent="0.6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4"/>
      <c r="AL175" s="33"/>
      <c r="AM175" s="33"/>
      <c r="AN175" s="33"/>
      <c r="AO175" s="33"/>
    </row>
    <row r="176" spans="1:41" ht="15.75" customHeight="1" x14ac:dyDescent="0.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4"/>
      <c r="AL176" s="33"/>
      <c r="AM176" s="33"/>
      <c r="AN176" s="33"/>
      <c r="AO176" s="33"/>
    </row>
    <row r="177" spans="1:41" ht="15.75" customHeight="1" x14ac:dyDescent="0.6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4"/>
      <c r="AL177" s="33"/>
      <c r="AM177" s="33"/>
      <c r="AN177" s="33"/>
      <c r="AO177" s="33"/>
    </row>
    <row r="178" spans="1:41" ht="15.75" customHeight="1" x14ac:dyDescent="0.6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4"/>
      <c r="AL178" s="33"/>
      <c r="AM178" s="33"/>
      <c r="AN178" s="33"/>
      <c r="AO178" s="33"/>
    </row>
    <row r="179" spans="1:41" ht="15.75" customHeight="1" x14ac:dyDescent="0.6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4"/>
      <c r="AL179" s="33"/>
      <c r="AM179" s="33"/>
      <c r="AN179" s="33"/>
      <c r="AO179" s="33"/>
    </row>
    <row r="180" spans="1:41" ht="15.75" customHeight="1" x14ac:dyDescent="0.6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4"/>
      <c r="AL180" s="33"/>
      <c r="AM180" s="33"/>
      <c r="AN180" s="33"/>
      <c r="AO180" s="33"/>
    </row>
    <row r="181" spans="1:41" ht="15.75" customHeight="1" x14ac:dyDescent="0.6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4"/>
      <c r="AL181" s="33"/>
      <c r="AM181" s="33"/>
      <c r="AN181" s="33"/>
      <c r="AO181" s="33"/>
    </row>
    <row r="182" spans="1:41" ht="15.75" customHeight="1" x14ac:dyDescent="0.6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4"/>
      <c r="AL182" s="33"/>
      <c r="AM182" s="33"/>
      <c r="AN182" s="33"/>
      <c r="AO182" s="33"/>
    </row>
    <row r="183" spans="1:41" ht="15.75" customHeight="1" x14ac:dyDescent="0.6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4"/>
      <c r="AL183" s="33"/>
      <c r="AM183" s="33"/>
      <c r="AN183" s="33"/>
      <c r="AO183" s="33"/>
    </row>
    <row r="184" spans="1:41" ht="15.75" customHeight="1" x14ac:dyDescent="0.6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4"/>
      <c r="AL184" s="33"/>
      <c r="AM184" s="33"/>
      <c r="AN184" s="33"/>
      <c r="AO184" s="33"/>
    </row>
    <row r="185" spans="1:41" ht="15.75" customHeight="1" x14ac:dyDescent="0.6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4"/>
      <c r="AL185" s="33"/>
      <c r="AM185" s="33"/>
      <c r="AN185" s="33"/>
      <c r="AO185" s="33"/>
    </row>
    <row r="186" spans="1:41" ht="15.75" customHeight="1" x14ac:dyDescent="0.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4"/>
      <c r="AL186" s="33"/>
      <c r="AM186" s="33"/>
      <c r="AN186" s="33"/>
      <c r="AO186" s="33"/>
    </row>
    <row r="187" spans="1:41" ht="15.75" customHeight="1" x14ac:dyDescent="0.6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4"/>
      <c r="AL187" s="33"/>
      <c r="AM187" s="33"/>
      <c r="AN187" s="33"/>
      <c r="AO187" s="33"/>
    </row>
    <row r="188" spans="1:41" ht="15.75" customHeight="1" x14ac:dyDescent="0.6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4"/>
      <c r="AL188" s="33"/>
      <c r="AM188" s="33"/>
      <c r="AN188" s="33"/>
      <c r="AO188" s="33"/>
    </row>
    <row r="189" spans="1:41" ht="15.75" customHeight="1" x14ac:dyDescent="0.6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4"/>
      <c r="AL189" s="33"/>
      <c r="AM189" s="33"/>
      <c r="AN189" s="33"/>
      <c r="AO189" s="33"/>
    </row>
    <row r="190" spans="1:41" ht="15.75" customHeight="1" x14ac:dyDescent="0.6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4"/>
      <c r="AL190" s="33"/>
      <c r="AM190" s="33"/>
      <c r="AN190" s="33"/>
      <c r="AO190" s="33"/>
    </row>
    <row r="191" spans="1:41" ht="15.75" customHeight="1" x14ac:dyDescent="0.6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4"/>
      <c r="AL191" s="33"/>
      <c r="AM191" s="33"/>
      <c r="AN191" s="33"/>
      <c r="AO191" s="33"/>
    </row>
    <row r="192" spans="1:41" ht="15.75" customHeight="1" x14ac:dyDescent="0.6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4"/>
      <c r="AL192" s="33"/>
      <c r="AM192" s="33"/>
      <c r="AN192" s="33"/>
      <c r="AO192" s="33"/>
    </row>
    <row r="193" spans="1:41" ht="15.75" customHeight="1" x14ac:dyDescent="0.6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4"/>
      <c r="AL193" s="33"/>
      <c r="AM193" s="33"/>
      <c r="AN193" s="33"/>
      <c r="AO193" s="33"/>
    </row>
    <row r="194" spans="1:41" ht="15.75" customHeight="1" x14ac:dyDescent="0.6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4"/>
      <c r="AL194" s="33"/>
      <c r="AM194" s="33"/>
      <c r="AN194" s="33"/>
      <c r="AO194" s="33"/>
    </row>
    <row r="195" spans="1:41" ht="15.75" customHeight="1" x14ac:dyDescent="0.6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4"/>
      <c r="AL195" s="33"/>
      <c r="AM195" s="33"/>
      <c r="AN195" s="33"/>
      <c r="AO195" s="33"/>
    </row>
    <row r="196" spans="1:41" ht="15.75" customHeight="1" x14ac:dyDescent="0.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4"/>
      <c r="AL196" s="33"/>
      <c r="AM196" s="33"/>
      <c r="AN196" s="33"/>
      <c r="AO196" s="33"/>
    </row>
    <row r="197" spans="1:41" ht="15.75" customHeight="1" x14ac:dyDescent="0.6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4"/>
      <c r="AL197" s="33"/>
      <c r="AM197" s="33"/>
      <c r="AN197" s="33"/>
      <c r="AO197" s="33"/>
    </row>
    <row r="198" spans="1:41" ht="15.75" customHeight="1" x14ac:dyDescent="0.6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4"/>
      <c r="AL198" s="33"/>
      <c r="AM198" s="33"/>
      <c r="AN198" s="33"/>
      <c r="AO198" s="33"/>
    </row>
    <row r="199" spans="1:41" ht="15.75" customHeight="1" x14ac:dyDescent="0.6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4"/>
      <c r="AL199" s="33"/>
      <c r="AM199" s="33"/>
      <c r="AN199" s="33"/>
      <c r="AO199" s="33"/>
    </row>
    <row r="200" spans="1:41" ht="15.75" customHeight="1" x14ac:dyDescent="0.6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4"/>
      <c r="AL200" s="33"/>
      <c r="AM200" s="33"/>
      <c r="AN200" s="33"/>
      <c r="AO200" s="33"/>
    </row>
    <row r="201" spans="1:41" ht="15.75" customHeight="1" x14ac:dyDescent="0.6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4"/>
      <c r="AL201" s="33"/>
      <c r="AM201" s="33"/>
      <c r="AN201" s="33"/>
      <c r="AO201" s="33"/>
    </row>
    <row r="202" spans="1:41" ht="15.75" customHeight="1" x14ac:dyDescent="0.6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4"/>
      <c r="AL202" s="33"/>
      <c r="AM202" s="33"/>
      <c r="AN202" s="33"/>
      <c r="AO202" s="33"/>
    </row>
    <row r="203" spans="1:41" ht="15.75" customHeight="1" x14ac:dyDescent="0.6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4"/>
      <c r="AL203" s="33"/>
      <c r="AM203" s="33"/>
      <c r="AN203" s="33"/>
      <c r="AO203" s="33"/>
    </row>
    <row r="204" spans="1:41" ht="15.75" customHeight="1" x14ac:dyDescent="0.6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4"/>
      <c r="AL204" s="33"/>
      <c r="AM204" s="33"/>
      <c r="AN204" s="33"/>
      <c r="AO204" s="33"/>
    </row>
    <row r="205" spans="1:41" ht="15.75" customHeight="1" x14ac:dyDescent="0.6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4"/>
      <c r="AL205" s="33"/>
      <c r="AM205" s="33"/>
      <c r="AN205" s="33"/>
      <c r="AO205" s="33"/>
    </row>
    <row r="206" spans="1:41" ht="15.75" customHeight="1" x14ac:dyDescent="0.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4"/>
      <c r="AL206" s="33"/>
      <c r="AM206" s="33"/>
      <c r="AN206" s="33"/>
      <c r="AO206" s="33"/>
    </row>
    <row r="207" spans="1:41" ht="15.75" customHeight="1" x14ac:dyDescent="0.6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4"/>
      <c r="AL207" s="33"/>
      <c r="AM207" s="33"/>
      <c r="AN207" s="33"/>
      <c r="AO207" s="33"/>
    </row>
    <row r="208" spans="1:41" ht="15.75" customHeight="1" x14ac:dyDescent="0.6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4"/>
      <c r="AL208" s="33"/>
      <c r="AM208" s="33"/>
      <c r="AN208" s="33"/>
      <c r="AO208" s="33"/>
    </row>
    <row r="209" spans="1:41" ht="15.75" customHeight="1" x14ac:dyDescent="0.6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4"/>
      <c r="AL209" s="33"/>
      <c r="AM209" s="33"/>
      <c r="AN209" s="33"/>
      <c r="AO209" s="33"/>
    </row>
    <row r="210" spans="1:41" ht="15.75" customHeight="1" x14ac:dyDescent="0.6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4"/>
      <c r="AL210" s="33"/>
      <c r="AM210" s="33"/>
      <c r="AN210" s="33"/>
      <c r="AO210" s="33"/>
    </row>
    <row r="211" spans="1:41" ht="15.75" customHeight="1" x14ac:dyDescent="0.6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4"/>
      <c r="AL211" s="33"/>
      <c r="AM211" s="33"/>
      <c r="AN211" s="33"/>
      <c r="AO211" s="33"/>
    </row>
    <row r="212" spans="1:41" ht="15.75" customHeight="1" x14ac:dyDescent="0.6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4"/>
      <c r="AL212" s="33"/>
      <c r="AM212" s="33"/>
      <c r="AN212" s="33"/>
      <c r="AO212" s="33"/>
    </row>
    <row r="213" spans="1:41" ht="15.75" customHeight="1" x14ac:dyDescent="0.6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4"/>
      <c r="AL213" s="33"/>
      <c r="AM213" s="33"/>
      <c r="AN213" s="33"/>
      <c r="AO213" s="33"/>
    </row>
    <row r="214" spans="1:41" ht="15.75" customHeight="1" x14ac:dyDescent="0.6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4"/>
      <c r="AL214" s="33"/>
      <c r="AM214" s="33"/>
      <c r="AN214" s="33"/>
      <c r="AO214" s="33"/>
    </row>
    <row r="215" spans="1:41" ht="15.75" customHeight="1" x14ac:dyDescent="0.6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4"/>
      <c r="AL215" s="33"/>
      <c r="AM215" s="33"/>
      <c r="AN215" s="33"/>
      <c r="AO215" s="33"/>
    </row>
    <row r="216" spans="1:41" ht="15.75" customHeight="1" x14ac:dyDescent="0.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4"/>
      <c r="AL216" s="33"/>
      <c r="AM216" s="33"/>
      <c r="AN216" s="33"/>
      <c r="AO216" s="33"/>
    </row>
    <row r="217" spans="1:41" ht="15.75" customHeight="1" x14ac:dyDescent="0.6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4"/>
      <c r="AL217" s="33"/>
      <c r="AM217" s="33"/>
      <c r="AN217" s="33"/>
      <c r="AO217" s="33"/>
    </row>
    <row r="218" spans="1:41" ht="15.75" customHeight="1" x14ac:dyDescent="0.6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4"/>
      <c r="AL218" s="33"/>
      <c r="AM218" s="33"/>
      <c r="AN218" s="33"/>
      <c r="AO218" s="33"/>
    </row>
    <row r="219" spans="1:41" ht="15.75" customHeight="1" x14ac:dyDescent="0.6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4"/>
      <c r="AL219" s="33"/>
      <c r="AM219" s="33"/>
      <c r="AN219" s="33"/>
      <c r="AO219" s="33"/>
    </row>
    <row r="220" spans="1:41" ht="15.75" customHeight="1" x14ac:dyDescent="0.6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4"/>
      <c r="AL220" s="33"/>
      <c r="AM220" s="33"/>
      <c r="AN220" s="33"/>
      <c r="AO220" s="33"/>
    </row>
    <row r="221" spans="1:41" ht="15.75" customHeight="1" x14ac:dyDescent="0.6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4"/>
      <c r="AL221" s="33"/>
      <c r="AM221" s="33"/>
      <c r="AN221" s="33"/>
      <c r="AO221" s="33"/>
    </row>
    <row r="222" spans="1:41" ht="15.75" customHeight="1" x14ac:dyDescent="0.6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4"/>
      <c r="AL222" s="33"/>
      <c r="AM222" s="33"/>
      <c r="AN222" s="33"/>
      <c r="AO222" s="33"/>
    </row>
    <row r="223" spans="1:41" ht="15.75" customHeight="1" x14ac:dyDescent="0.6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4"/>
      <c r="AL223" s="33"/>
      <c r="AM223" s="33"/>
      <c r="AN223" s="33"/>
      <c r="AO223" s="33"/>
    </row>
    <row r="224" spans="1:41" ht="15.75" customHeight="1" x14ac:dyDescent="0.6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4"/>
      <c r="AL224" s="33"/>
      <c r="AM224" s="33"/>
      <c r="AN224" s="33"/>
      <c r="AO224" s="33"/>
    </row>
    <row r="225" spans="1:41" ht="15.75" customHeight="1" x14ac:dyDescent="0.6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4"/>
      <c r="AL225" s="33"/>
      <c r="AM225" s="33"/>
      <c r="AN225" s="33"/>
      <c r="AO225" s="33"/>
    </row>
    <row r="226" spans="1:41" ht="15.75" customHeight="1" x14ac:dyDescent="0.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4"/>
      <c r="AL226" s="33"/>
      <c r="AM226" s="33"/>
      <c r="AN226" s="33"/>
      <c r="AO226" s="33"/>
    </row>
    <row r="227" spans="1:41" ht="15.75" customHeight="1" x14ac:dyDescent="0.6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4"/>
      <c r="AL227" s="33"/>
      <c r="AM227" s="33"/>
      <c r="AN227" s="33"/>
      <c r="AO227" s="33"/>
    </row>
    <row r="228" spans="1:41" ht="15.75" customHeight="1" x14ac:dyDescent="0.6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4"/>
      <c r="AL228" s="33"/>
      <c r="AM228" s="33"/>
      <c r="AN228" s="33"/>
      <c r="AO228" s="33"/>
    </row>
    <row r="229" spans="1:41" ht="15.75" customHeight="1" x14ac:dyDescent="0.6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4"/>
      <c r="AL229" s="33"/>
      <c r="AM229" s="33"/>
      <c r="AN229" s="33"/>
      <c r="AO229" s="33"/>
    </row>
    <row r="230" spans="1:41" ht="15.75" customHeight="1" x14ac:dyDescent="0.6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4"/>
      <c r="AL230" s="33"/>
      <c r="AM230" s="33"/>
      <c r="AN230" s="33"/>
      <c r="AO230" s="33"/>
    </row>
    <row r="231" spans="1:41" ht="15.75" customHeight="1" x14ac:dyDescent="0.6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4"/>
      <c r="AL231" s="33"/>
      <c r="AM231" s="33"/>
      <c r="AN231" s="33"/>
      <c r="AO231" s="33"/>
    </row>
    <row r="232" spans="1:41" ht="15.75" customHeight="1" x14ac:dyDescent="0.6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4"/>
      <c r="AL232" s="33"/>
      <c r="AM232" s="33"/>
      <c r="AN232" s="33"/>
      <c r="AO232" s="33"/>
    </row>
    <row r="233" spans="1:41" ht="15.75" customHeight="1" x14ac:dyDescent="0.6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4"/>
      <c r="AL233" s="33"/>
      <c r="AM233" s="33"/>
      <c r="AN233" s="33"/>
      <c r="AO233" s="33"/>
    </row>
    <row r="234" spans="1:41" ht="15.75" customHeight="1" x14ac:dyDescent="0.6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4"/>
      <c r="AL234" s="33"/>
      <c r="AM234" s="33"/>
      <c r="AN234" s="33"/>
      <c r="AO234" s="33"/>
    </row>
    <row r="235" spans="1:41" ht="15.75" customHeight="1" x14ac:dyDescent="0.6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4"/>
      <c r="AL235" s="33"/>
      <c r="AM235" s="33"/>
      <c r="AN235" s="33"/>
      <c r="AO235" s="33"/>
    </row>
    <row r="236" spans="1:41" ht="15.75" customHeight="1" x14ac:dyDescent="0.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4"/>
      <c r="AL236" s="33"/>
      <c r="AM236" s="33"/>
      <c r="AN236" s="33"/>
      <c r="AO236" s="33"/>
    </row>
    <row r="237" spans="1:41" ht="15.75" customHeight="1" x14ac:dyDescent="0.6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4"/>
      <c r="AL237" s="33"/>
      <c r="AM237" s="33"/>
      <c r="AN237" s="33"/>
      <c r="AO237" s="33"/>
    </row>
    <row r="238" spans="1:41" ht="15.75" customHeight="1" x14ac:dyDescent="0.6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4"/>
      <c r="AL238" s="33"/>
      <c r="AM238" s="33"/>
      <c r="AN238" s="33"/>
      <c r="AO238" s="33"/>
    </row>
    <row r="239" spans="1:41" ht="15.75" customHeight="1" x14ac:dyDescent="0.6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4"/>
      <c r="AL239" s="33"/>
      <c r="AM239" s="33"/>
      <c r="AN239" s="33"/>
      <c r="AO239" s="33"/>
    </row>
    <row r="240" spans="1:41" ht="15.75" customHeight="1" x14ac:dyDescent="0.6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4"/>
      <c r="AL240" s="33"/>
      <c r="AM240" s="33"/>
      <c r="AN240" s="33"/>
      <c r="AO240" s="33"/>
    </row>
    <row r="241" spans="1:41" ht="15.75" customHeight="1" x14ac:dyDescent="0.6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4"/>
      <c r="AL241" s="33"/>
      <c r="AM241" s="33"/>
      <c r="AN241" s="33"/>
      <c r="AO241" s="33"/>
    </row>
    <row r="242" spans="1:41" ht="15.75" customHeight="1" x14ac:dyDescent="0.6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4"/>
      <c r="AL242" s="33"/>
      <c r="AM242" s="33"/>
      <c r="AN242" s="33"/>
      <c r="AO242" s="33"/>
    </row>
    <row r="243" spans="1:41" ht="15.75" customHeight="1" x14ac:dyDescent="0.6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4"/>
      <c r="AL243" s="33"/>
      <c r="AM243" s="33"/>
      <c r="AN243" s="33"/>
      <c r="AO243" s="33"/>
    </row>
    <row r="244" spans="1:41" ht="15.75" customHeight="1" x14ac:dyDescent="0.6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4"/>
      <c r="AL244" s="33"/>
      <c r="AM244" s="33"/>
      <c r="AN244" s="33"/>
      <c r="AO244" s="33"/>
    </row>
    <row r="245" spans="1:41" ht="15.75" customHeight="1" x14ac:dyDescent="0.6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4"/>
      <c r="AL245" s="33"/>
      <c r="AM245" s="33"/>
      <c r="AN245" s="33"/>
      <c r="AO245" s="33"/>
    </row>
    <row r="246" spans="1:41" ht="15.75" customHeight="1" x14ac:dyDescent="0.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4"/>
      <c r="AL246" s="33"/>
      <c r="AM246" s="33"/>
      <c r="AN246" s="33"/>
      <c r="AO246" s="33"/>
    </row>
    <row r="247" spans="1:41" ht="15.75" customHeight="1" x14ac:dyDescent="0.6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4"/>
      <c r="AL247" s="33"/>
      <c r="AM247" s="33"/>
      <c r="AN247" s="33"/>
      <c r="AO247" s="33"/>
    </row>
    <row r="248" spans="1:41" ht="15.75" customHeight="1" x14ac:dyDescent="0.6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4"/>
      <c r="AL248" s="33"/>
      <c r="AM248" s="33"/>
      <c r="AN248" s="33"/>
      <c r="AO248" s="33"/>
    </row>
    <row r="249" spans="1:41" ht="15.75" customHeight="1" x14ac:dyDescent="0.6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4"/>
      <c r="AL249" s="33"/>
      <c r="AM249" s="33"/>
      <c r="AN249" s="33"/>
      <c r="AO249" s="33"/>
    </row>
    <row r="250" spans="1:41" ht="15.75" customHeight="1" x14ac:dyDescent="0.6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4"/>
      <c r="AL250" s="33"/>
      <c r="AM250" s="33"/>
      <c r="AN250" s="33"/>
      <c r="AO250" s="33"/>
    </row>
    <row r="251" spans="1:41" ht="15.75" customHeight="1" x14ac:dyDescent="0.6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4"/>
      <c r="AL251" s="33"/>
      <c r="AM251" s="33"/>
      <c r="AN251" s="33"/>
      <c r="AO251" s="33"/>
    </row>
    <row r="252" spans="1:41" ht="15.75" customHeight="1" x14ac:dyDescent="0.6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4"/>
      <c r="AL252" s="33"/>
      <c r="AM252" s="33"/>
      <c r="AN252" s="33"/>
      <c r="AO252" s="33"/>
    </row>
    <row r="253" spans="1:41" ht="15.75" customHeight="1" x14ac:dyDescent="0.6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4"/>
      <c r="AL253" s="33"/>
      <c r="AM253" s="33"/>
      <c r="AN253" s="33"/>
      <c r="AO253" s="33"/>
    </row>
    <row r="254" spans="1:41" ht="15.75" customHeight="1" x14ac:dyDescent="0.6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4"/>
      <c r="AL254" s="33"/>
      <c r="AM254" s="33"/>
      <c r="AN254" s="33"/>
      <c r="AO254" s="33"/>
    </row>
    <row r="255" spans="1:41" ht="15.75" customHeight="1" x14ac:dyDescent="0.6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4"/>
      <c r="AL255" s="33"/>
      <c r="AM255" s="33"/>
      <c r="AN255" s="33"/>
      <c r="AO255" s="33"/>
    </row>
    <row r="256" spans="1:41" ht="15.75" customHeight="1" x14ac:dyDescent="0.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4"/>
      <c r="AL256" s="33"/>
      <c r="AM256" s="33"/>
      <c r="AN256" s="33"/>
      <c r="AO256" s="33"/>
    </row>
    <row r="257" spans="1:41" ht="15.75" customHeight="1" x14ac:dyDescent="0.6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4"/>
      <c r="AL257" s="33"/>
      <c r="AM257" s="33"/>
      <c r="AN257" s="33"/>
      <c r="AO257" s="33"/>
    </row>
    <row r="258" spans="1:41" ht="15.75" customHeight="1" x14ac:dyDescent="0.6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4"/>
      <c r="AL258" s="33"/>
      <c r="AM258" s="33"/>
      <c r="AN258" s="33"/>
      <c r="AO258" s="33"/>
    </row>
    <row r="259" spans="1:41" ht="15.75" customHeight="1" x14ac:dyDescent="0.6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4"/>
      <c r="AL259" s="33"/>
      <c r="AM259" s="33"/>
      <c r="AN259" s="33"/>
      <c r="AO259" s="33"/>
    </row>
    <row r="260" spans="1:41" ht="15.75" customHeight="1" x14ac:dyDescent="0.6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4"/>
      <c r="AL260" s="33"/>
      <c r="AM260" s="33"/>
      <c r="AN260" s="33"/>
      <c r="AO260" s="33"/>
    </row>
    <row r="261" spans="1:41" ht="15.75" customHeight="1" x14ac:dyDescent="0.6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4"/>
      <c r="AL261" s="33"/>
      <c r="AM261" s="33"/>
      <c r="AN261" s="33"/>
      <c r="AO261" s="33"/>
    </row>
    <row r="262" spans="1:41" ht="15.75" customHeight="1" x14ac:dyDescent="0.6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4"/>
      <c r="AL262" s="33"/>
      <c r="AM262" s="33"/>
      <c r="AN262" s="33"/>
      <c r="AO262" s="33"/>
    </row>
    <row r="263" spans="1:41" ht="15.75" customHeight="1" x14ac:dyDescent="0.6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4"/>
      <c r="AL263" s="33"/>
      <c r="AM263" s="33"/>
      <c r="AN263" s="33"/>
      <c r="AO263" s="33"/>
    </row>
    <row r="264" spans="1:41" ht="15.75" customHeight="1" x14ac:dyDescent="0.6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4"/>
      <c r="AL264" s="33"/>
      <c r="AM264" s="33"/>
      <c r="AN264" s="33"/>
      <c r="AO264" s="33"/>
    </row>
    <row r="265" spans="1:41" ht="15.75" customHeight="1" x14ac:dyDescent="0.6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4"/>
      <c r="AL265" s="33"/>
      <c r="AM265" s="33"/>
      <c r="AN265" s="33"/>
      <c r="AO265" s="33"/>
    </row>
    <row r="266" spans="1:41" ht="15.75" customHeight="1" x14ac:dyDescent="0.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4"/>
      <c r="AL266" s="33"/>
      <c r="AM266" s="33"/>
      <c r="AN266" s="33"/>
      <c r="AO266" s="33"/>
    </row>
    <row r="267" spans="1:41" ht="15.75" customHeight="1" x14ac:dyDescent="0.6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4"/>
      <c r="AL267" s="33"/>
      <c r="AM267" s="33"/>
      <c r="AN267" s="33"/>
      <c r="AO267" s="33"/>
    </row>
    <row r="268" spans="1:41" ht="15.75" customHeight="1" x14ac:dyDescent="0.6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4"/>
      <c r="AL268" s="33"/>
      <c r="AM268" s="33"/>
      <c r="AN268" s="33"/>
      <c r="AO268" s="33"/>
    </row>
    <row r="269" spans="1:41" ht="15.75" customHeight="1" x14ac:dyDescent="0.6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4"/>
      <c r="AL269" s="33"/>
      <c r="AM269" s="33"/>
      <c r="AN269" s="33"/>
      <c r="AO269" s="33"/>
    </row>
    <row r="270" spans="1:41" ht="15.75" customHeight="1" x14ac:dyDescent="0.6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4"/>
      <c r="AL270" s="33"/>
      <c r="AM270" s="33"/>
      <c r="AN270" s="33"/>
      <c r="AO270" s="33"/>
    </row>
    <row r="271" spans="1:41" ht="15.75" customHeight="1" x14ac:dyDescent="0.6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4"/>
      <c r="AL271" s="33"/>
      <c r="AM271" s="33"/>
      <c r="AN271" s="33"/>
      <c r="AO271" s="33"/>
    </row>
    <row r="272" spans="1:41" ht="15.75" customHeight="1" x14ac:dyDescent="0.6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4"/>
      <c r="AL272" s="33"/>
      <c r="AM272" s="33"/>
      <c r="AN272" s="33"/>
      <c r="AO272" s="33"/>
    </row>
    <row r="273" spans="1:41" ht="15.75" customHeight="1" x14ac:dyDescent="0.6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4"/>
      <c r="AL273" s="33"/>
      <c r="AM273" s="33"/>
      <c r="AN273" s="33"/>
      <c r="AO273" s="33"/>
    </row>
    <row r="274" spans="1:41" ht="15.75" customHeight="1" x14ac:dyDescent="0.6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4"/>
      <c r="AL274" s="33"/>
      <c r="AM274" s="33"/>
      <c r="AN274" s="33"/>
      <c r="AO274" s="33"/>
    </row>
    <row r="275" spans="1:41" ht="15.75" customHeight="1" x14ac:dyDescent="0.6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4"/>
      <c r="AL275" s="33"/>
      <c r="AM275" s="33"/>
      <c r="AN275" s="33"/>
      <c r="AO275" s="33"/>
    </row>
    <row r="276" spans="1:41" ht="15.75" customHeight="1" x14ac:dyDescent="0.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4"/>
      <c r="AL276" s="33"/>
      <c r="AM276" s="33"/>
      <c r="AN276" s="33"/>
      <c r="AO276" s="33"/>
    </row>
    <row r="277" spans="1:41" ht="15.75" customHeight="1" x14ac:dyDescent="0.6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4"/>
      <c r="AL277" s="33"/>
      <c r="AM277" s="33"/>
      <c r="AN277" s="33"/>
      <c r="AO277" s="33"/>
    </row>
    <row r="278" spans="1:41" ht="15.75" customHeight="1" x14ac:dyDescent="0.6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4"/>
      <c r="AL278" s="33"/>
      <c r="AM278" s="33"/>
      <c r="AN278" s="33"/>
      <c r="AO278" s="33"/>
    </row>
    <row r="279" spans="1:41" ht="15.75" customHeight="1" x14ac:dyDescent="0.6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4"/>
      <c r="AL279" s="33"/>
      <c r="AM279" s="33"/>
      <c r="AN279" s="33"/>
      <c r="AO279" s="33"/>
    </row>
    <row r="280" spans="1:41" ht="15.75" customHeight="1" x14ac:dyDescent="0.6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4"/>
      <c r="AL280" s="33"/>
      <c r="AM280" s="33"/>
      <c r="AN280" s="33"/>
      <c r="AO280" s="33"/>
    </row>
    <row r="281" spans="1:41" ht="15.75" customHeight="1" x14ac:dyDescent="0.6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4"/>
      <c r="AL281" s="33"/>
      <c r="AM281" s="33"/>
      <c r="AN281" s="33"/>
      <c r="AO281" s="33"/>
    </row>
    <row r="282" spans="1:41" ht="15.75" customHeight="1" x14ac:dyDescent="0.6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4"/>
      <c r="AL282" s="33"/>
      <c r="AM282" s="33"/>
      <c r="AN282" s="33"/>
      <c r="AO282" s="33"/>
    </row>
    <row r="283" spans="1:41" ht="15.75" customHeight="1" x14ac:dyDescent="0.6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4"/>
      <c r="AL283" s="33"/>
      <c r="AM283" s="33"/>
      <c r="AN283" s="33"/>
      <c r="AO283" s="33"/>
    </row>
    <row r="284" spans="1:41" ht="15.75" customHeight="1" x14ac:dyDescent="0.6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4"/>
      <c r="AL284" s="33"/>
      <c r="AM284" s="33"/>
      <c r="AN284" s="33"/>
      <c r="AO284" s="33"/>
    </row>
    <row r="285" spans="1:41" ht="15.75" customHeight="1" x14ac:dyDescent="0.6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4"/>
      <c r="AL285" s="33"/>
      <c r="AM285" s="33"/>
      <c r="AN285" s="33"/>
      <c r="AO285" s="33"/>
    </row>
    <row r="286" spans="1:41" ht="15.75" customHeight="1" x14ac:dyDescent="0.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4"/>
      <c r="AL286" s="33"/>
      <c r="AM286" s="33"/>
      <c r="AN286" s="33"/>
      <c r="AO286" s="33"/>
    </row>
    <row r="287" spans="1:41" ht="15.75" customHeight="1" x14ac:dyDescent="0.6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4"/>
      <c r="AL287" s="33"/>
      <c r="AM287" s="33"/>
      <c r="AN287" s="33"/>
      <c r="AO287" s="33"/>
    </row>
    <row r="288" spans="1:41" ht="15.75" customHeight="1" x14ac:dyDescent="0.6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4"/>
      <c r="AL288" s="33"/>
      <c r="AM288" s="33"/>
      <c r="AN288" s="33"/>
      <c r="AO288" s="33"/>
    </row>
    <row r="289" spans="1:41" ht="15.75" customHeight="1" x14ac:dyDescent="0.6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4"/>
      <c r="AL289" s="33"/>
      <c r="AM289" s="33"/>
      <c r="AN289" s="33"/>
      <c r="AO289" s="33"/>
    </row>
    <row r="290" spans="1:41" ht="15.75" customHeight="1" x14ac:dyDescent="0.6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4"/>
      <c r="AL290" s="33"/>
      <c r="AM290" s="33"/>
      <c r="AN290" s="33"/>
      <c r="AO290" s="33"/>
    </row>
    <row r="291" spans="1:41" ht="15.75" customHeight="1" x14ac:dyDescent="0.6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4"/>
      <c r="AL291" s="33"/>
      <c r="AM291" s="33"/>
      <c r="AN291" s="33"/>
      <c r="AO291" s="33"/>
    </row>
    <row r="292" spans="1:41" ht="15.75" customHeight="1" x14ac:dyDescent="0.6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4"/>
      <c r="AL292" s="33"/>
      <c r="AM292" s="33"/>
      <c r="AN292" s="33"/>
      <c r="AO292" s="33"/>
    </row>
    <row r="293" spans="1:41" ht="15.75" customHeight="1" x14ac:dyDescent="0.6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4"/>
      <c r="AL293" s="33"/>
      <c r="AM293" s="33"/>
      <c r="AN293" s="33"/>
      <c r="AO293" s="33"/>
    </row>
    <row r="294" spans="1:41" ht="15.75" customHeight="1" x14ac:dyDescent="0.6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4"/>
      <c r="AL294" s="33"/>
      <c r="AM294" s="33"/>
      <c r="AN294" s="33"/>
      <c r="AO294" s="33"/>
    </row>
    <row r="295" spans="1:41" ht="15.75" customHeight="1" x14ac:dyDescent="0.6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4"/>
      <c r="AL295" s="33"/>
      <c r="AM295" s="33"/>
      <c r="AN295" s="33"/>
      <c r="AO295" s="33"/>
    </row>
    <row r="296" spans="1:41" ht="15.75" customHeight="1" x14ac:dyDescent="0.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4"/>
      <c r="AL296" s="33"/>
      <c r="AM296" s="33"/>
      <c r="AN296" s="33"/>
      <c r="AO296" s="33"/>
    </row>
    <row r="297" spans="1:41" ht="15.75" customHeight="1" x14ac:dyDescent="0.6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4"/>
      <c r="AL297" s="33"/>
      <c r="AM297" s="33"/>
      <c r="AN297" s="33"/>
      <c r="AO297" s="33"/>
    </row>
    <row r="298" spans="1:41" ht="15.75" customHeight="1" x14ac:dyDescent="0.6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4"/>
      <c r="AL298" s="33"/>
      <c r="AM298" s="33"/>
      <c r="AN298" s="33"/>
      <c r="AO298" s="33"/>
    </row>
    <row r="299" spans="1:41" ht="15.75" customHeight="1" x14ac:dyDescent="0.6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4"/>
      <c r="AL299" s="33"/>
      <c r="AM299" s="33"/>
      <c r="AN299" s="33"/>
      <c r="AO299" s="33"/>
    </row>
    <row r="300" spans="1:41" ht="15.75" customHeight="1" x14ac:dyDescent="0.6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4"/>
      <c r="AL300" s="33"/>
      <c r="AM300" s="33"/>
      <c r="AN300" s="33"/>
      <c r="AO300" s="33"/>
    </row>
    <row r="301" spans="1:41" ht="15.75" customHeight="1" x14ac:dyDescent="0.6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4"/>
      <c r="AL301" s="33"/>
      <c r="AM301" s="33"/>
      <c r="AN301" s="33"/>
      <c r="AO301" s="33"/>
    </row>
    <row r="302" spans="1:41" ht="15.75" customHeight="1" x14ac:dyDescent="0.6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4"/>
      <c r="AL302" s="33"/>
      <c r="AM302" s="33"/>
      <c r="AN302" s="33"/>
      <c r="AO302" s="33"/>
    </row>
    <row r="303" spans="1:41" ht="15.75" customHeight="1" x14ac:dyDescent="0.6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4"/>
      <c r="AL303" s="33"/>
      <c r="AM303" s="33"/>
      <c r="AN303" s="33"/>
      <c r="AO303" s="33"/>
    </row>
    <row r="304" spans="1:41" ht="15.75" customHeight="1" x14ac:dyDescent="0.6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4"/>
      <c r="AL304" s="33"/>
      <c r="AM304" s="33"/>
      <c r="AN304" s="33"/>
      <c r="AO304" s="33"/>
    </row>
    <row r="305" spans="1:41" ht="15.75" customHeight="1" x14ac:dyDescent="0.6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4"/>
      <c r="AL305" s="33"/>
      <c r="AM305" s="33"/>
      <c r="AN305" s="33"/>
      <c r="AO305" s="33"/>
    </row>
    <row r="306" spans="1:41" ht="15.75" customHeight="1" x14ac:dyDescent="0.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4"/>
      <c r="AL306" s="33"/>
      <c r="AM306" s="33"/>
      <c r="AN306" s="33"/>
      <c r="AO306" s="33"/>
    </row>
    <row r="307" spans="1:41" ht="15.75" customHeight="1" x14ac:dyDescent="0.6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4"/>
      <c r="AL307" s="33"/>
      <c r="AM307" s="33"/>
      <c r="AN307" s="33"/>
      <c r="AO307" s="33"/>
    </row>
    <row r="308" spans="1:41" ht="15.75" customHeight="1" x14ac:dyDescent="0.6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4"/>
      <c r="AL308" s="33"/>
      <c r="AM308" s="33"/>
      <c r="AN308" s="33"/>
      <c r="AO308" s="33"/>
    </row>
    <row r="309" spans="1:41" ht="15.75" customHeight="1" x14ac:dyDescent="0.6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4"/>
      <c r="AL309" s="33"/>
      <c r="AM309" s="33"/>
      <c r="AN309" s="33"/>
      <c r="AO309" s="33"/>
    </row>
    <row r="310" spans="1:41" ht="15.75" customHeight="1" x14ac:dyDescent="0.6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4"/>
      <c r="AL310" s="33"/>
      <c r="AM310" s="33"/>
      <c r="AN310" s="33"/>
      <c r="AO310" s="33"/>
    </row>
    <row r="311" spans="1:41" ht="15.75" customHeight="1" x14ac:dyDescent="0.6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4"/>
      <c r="AL311" s="33"/>
      <c r="AM311" s="33"/>
      <c r="AN311" s="33"/>
      <c r="AO311" s="33"/>
    </row>
    <row r="312" spans="1:41" ht="15.75" customHeight="1" x14ac:dyDescent="0.6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4"/>
      <c r="AL312" s="33"/>
      <c r="AM312" s="33"/>
      <c r="AN312" s="33"/>
      <c r="AO312" s="33"/>
    </row>
    <row r="313" spans="1:41" ht="15.75" customHeight="1" x14ac:dyDescent="0.6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4"/>
      <c r="AL313" s="33"/>
      <c r="AM313" s="33"/>
      <c r="AN313" s="33"/>
      <c r="AO313" s="33"/>
    </row>
    <row r="314" spans="1:41" ht="15.75" customHeight="1" x14ac:dyDescent="0.6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4"/>
      <c r="AL314" s="33"/>
      <c r="AM314" s="33"/>
      <c r="AN314" s="33"/>
      <c r="AO314" s="33"/>
    </row>
    <row r="315" spans="1:41" ht="15.75" customHeight="1" x14ac:dyDescent="0.6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4"/>
      <c r="AL315" s="33"/>
      <c r="AM315" s="33"/>
      <c r="AN315" s="33"/>
      <c r="AO315" s="33"/>
    </row>
    <row r="316" spans="1:41" ht="15.75" customHeight="1" x14ac:dyDescent="0.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4"/>
      <c r="AL316" s="33"/>
      <c r="AM316" s="33"/>
      <c r="AN316" s="33"/>
      <c r="AO316" s="33"/>
    </row>
    <row r="317" spans="1:41" ht="15.75" customHeight="1" x14ac:dyDescent="0.6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4"/>
      <c r="AL317" s="33"/>
      <c r="AM317" s="33"/>
      <c r="AN317" s="33"/>
      <c r="AO317" s="33"/>
    </row>
    <row r="318" spans="1:41" ht="15.75" customHeight="1" x14ac:dyDescent="0.6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4"/>
      <c r="AL318" s="33"/>
      <c r="AM318" s="33"/>
      <c r="AN318" s="33"/>
      <c r="AO318" s="33"/>
    </row>
    <row r="319" spans="1:41" ht="15.75" customHeight="1" x14ac:dyDescent="0.6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4"/>
      <c r="AL319" s="33"/>
      <c r="AM319" s="33"/>
      <c r="AN319" s="33"/>
      <c r="AO319" s="33"/>
    </row>
    <row r="320" spans="1:41" ht="15.75" customHeight="1" x14ac:dyDescent="0.6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4"/>
      <c r="AL320" s="33"/>
      <c r="AM320" s="33"/>
      <c r="AN320" s="33"/>
      <c r="AO320" s="33"/>
    </row>
    <row r="321" spans="1:41" ht="15.75" customHeight="1" x14ac:dyDescent="0.6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4"/>
      <c r="AL321" s="33"/>
      <c r="AM321" s="33"/>
      <c r="AN321" s="33"/>
      <c r="AO321" s="33"/>
    </row>
    <row r="322" spans="1:41" ht="15.75" customHeight="1" x14ac:dyDescent="0.6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4"/>
      <c r="AL322" s="33"/>
      <c r="AM322" s="33"/>
      <c r="AN322" s="33"/>
      <c r="AO322" s="33"/>
    </row>
    <row r="323" spans="1:41" ht="15.75" customHeight="1" x14ac:dyDescent="0.6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4"/>
      <c r="AL323" s="33"/>
      <c r="AM323" s="33"/>
      <c r="AN323" s="33"/>
      <c r="AO323" s="33"/>
    </row>
    <row r="324" spans="1:41" ht="15.75" customHeight="1" x14ac:dyDescent="0.6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4"/>
      <c r="AL324" s="33"/>
      <c r="AM324" s="33"/>
      <c r="AN324" s="33"/>
      <c r="AO324" s="33"/>
    </row>
    <row r="325" spans="1:41" ht="15.75" customHeight="1" x14ac:dyDescent="0.6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4"/>
      <c r="AL325" s="33"/>
      <c r="AM325" s="33"/>
      <c r="AN325" s="33"/>
      <c r="AO325" s="33"/>
    </row>
    <row r="326" spans="1:41" ht="15.75" customHeight="1" x14ac:dyDescent="0.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4"/>
      <c r="AL326" s="33"/>
      <c r="AM326" s="33"/>
      <c r="AN326" s="33"/>
      <c r="AO326" s="33"/>
    </row>
    <row r="327" spans="1:41" ht="15.75" customHeight="1" x14ac:dyDescent="0.6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4"/>
      <c r="AL327" s="33"/>
      <c r="AM327" s="33"/>
      <c r="AN327" s="33"/>
      <c r="AO327" s="33"/>
    </row>
    <row r="328" spans="1:41" ht="15.75" customHeight="1" x14ac:dyDescent="0.6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4"/>
      <c r="AL328" s="33"/>
      <c r="AM328" s="33"/>
      <c r="AN328" s="33"/>
      <c r="AO328" s="33"/>
    </row>
    <row r="329" spans="1:41" ht="15.75" customHeight="1" x14ac:dyDescent="0.6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4"/>
      <c r="AL329" s="33"/>
      <c r="AM329" s="33"/>
      <c r="AN329" s="33"/>
      <c r="AO329" s="33"/>
    </row>
    <row r="330" spans="1:41" ht="15.75" customHeight="1" x14ac:dyDescent="0.6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4"/>
      <c r="AL330" s="33"/>
      <c r="AM330" s="33"/>
      <c r="AN330" s="33"/>
      <c r="AO330" s="33"/>
    </row>
    <row r="331" spans="1:41" ht="15.75" customHeight="1" x14ac:dyDescent="0.6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4"/>
      <c r="AL331" s="33"/>
      <c r="AM331" s="33"/>
      <c r="AN331" s="33"/>
      <c r="AO331" s="33"/>
    </row>
    <row r="332" spans="1:41" ht="15.75" customHeight="1" x14ac:dyDescent="0.6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4"/>
      <c r="AL332" s="33"/>
      <c r="AM332" s="33"/>
      <c r="AN332" s="33"/>
      <c r="AO332" s="33"/>
    </row>
    <row r="333" spans="1:41" ht="15.75" customHeight="1" x14ac:dyDescent="0.6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4"/>
      <c r="AL333" s="33"/>
      <c r="AM333" s="33"/>
      <c r="AN333" s="33"/>
      <c r="AO333" s="33"/>
    </row>
    <row r="334" spans="1:41" ht="15.75" customHeight="1" x14ac:dyDescent="0.6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4"/>
      <c r="AL334" s="33"/>
      <c r="AM334" s="33"/>
      <c r="AN334" s="33"/>
      <c r="AO334" s="33"/>
    </row>
    <row r="335" spans="1:41" ht="15.75" customHeight="1" x14ac:dyDescent="0.6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4"/>
      <c r="AL335" s="33"/>
      <c r="AM335" s="33"/>
      <c r="AN335" s="33"/>
      <c r="AO335" s="33"/>
    </row>
    <row r="336" spans="1:41" ht="15.75" customHeight="1" x14ac:dyDescent="0.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4"/>
      <c r="AL336" s="33"/>
      <c r="AM336" s="33"/>
      <c r="AN336" s="33"/>
      <c r="AO336" s="33"/>
    </row>
    <row r="337" spans="1:41" ht="15.75" customHeight="1" x14ac:dyDescent="0.6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4"/>
      <c r="AL337" s="33"/>
      <c r="AM337" s="33"/>
      <c r="AN337" s="33"/>
      <c r="AO337" s="33"/>
    </row>
    <row r="338" spans="1:41" ht="15.75" customHeight="1" x14ac:dyDescent="0.6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4"/>
      <c r="AL338" s="33"/>
      <c r="AM338" s="33"/>
      <c r="AN338" s="33"/>
      <c r="AO338" s="33"/>
    </row>
    <row r="339" spans="1:41" ht="15.75" customHeight="1" x14ac:dyDescent="0.6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4"/>
      <c r="AL339" s="33"/>
      <c r="AM339" s="33"/>
      <c r="AN339" s="33"/>
      <c r="AO339" s="33"/>
    </row>
    <row r="340" spans="1:41" ht="15.75" customHeight="1" x14ac:dyDescent="0.6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4"/>
      <c r="AL340" s="33"/>
      <c r="AM340" s="33"/>
      <c r="AN340" s="33"/>
      <c r="AO340" s="33"/>
    </row>
    <row r="341" spans="1:41" ht="15.75" customHeight="1" x14ac:dyDescent="0.6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4"/>
      <c r="AL341" s="33"/>
      <c r="AM341" s="33"/>
      <c r="AN341" s="33"/>
      <c r="AO341" s="33"/>
    </row>
    <row r="342" spans="1:41" ht="15.75" customHeight="1" x14ac:dyDescent="0.6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4"/>
      <c r="AL342" s="33"/>
      <c r="AM342" s="33"/>
      <c r="AN342" s="33"/>
      <c r="AO342" s="33"/>
    </row>
    <row r="343" spans="1:41" ht="15.75" customHeight="1" x14ac:dyDescent="0.6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4"/>
      <c r="AL343" s="33"/>
      <c r="AM343" s="33"/>
      <c r="AN343" s="33"/>
      <c r="AO343" s="33"/>
    </row>
    <row r="344" spans="1:41" ht="15.75" customHeight="1" x14ac:dyDescent="0.6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4"/>
      <c r="AL344" s="33"/>
      <c r="AM344" s="33"/>
      <c r="AN344" s="33"/>
      <c r="AO344" s="33"/>
    </row>
    <row r="345" spans="1:41" ht="15.75" customHeight="1" x14ac:dyDescent="0.6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4"/>
      <c r="AL345" s="33"/>
      <c r="AM345" s="33"/>
      <c r="AN345" s="33"/>
      <c r="AO345" s="33"/>
    </row>
    <row r="346" spans="1:41" ht="15.75" customHeight="1" x14ac:dyDescent="0.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4"/>
      <c r="AL346" s="33"/>
      <c r="AM346" s="33"/>
      <c r="AN346" s="33"/>
      <c r="AO346" s="33"/>
    </row>
    <row r="347" spans="1:41" ht="15.75" customHeight="1" x14ac:dyDescent="0.6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4"/>
      <c r="AL347" s="33"/>
      <c r="AM347" s="33"/>
      <c r="AN347" s="33"/>
      <c r="AO347" s="33"/>
    </row>
    <row r="348" spans="1:41" ht="15.75" customHeight="1" x14ac:dyDescent="0.6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4"/>
      <c r="AL348" s="33"/>
      <c r="AM348" s="33"/>
      <c r="AN348" s="33"/>
      <c r="AO348" s="33"/>
    </row>
    <row r="349" spans="1:41" ht="15.75" customHeight="1" x14ac:dyDescent="0.6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4"/>
      <c r="AL349" s="33"/>
      <c r="AM349" s="33"/>
      <c r="AN349" s="33"/>
      <c r="AO349" s="33"/>
    </row>
    <row r="350" spans="1:41" ht="15.75" customHeight="1" x14ac:dyDescent="0.6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4"/>
      <c r="AL350" s="33"/>
      <c r="AM350" s="33"/>
      <c r="AN350" s="33"/>
      <c r="AO350" s="33"/>
    </row>
    <row r="351" spans="1:41" ht="15.75" customHeight="1" x14ac:dyDescent="0.6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4"/>
      <c r="AL351" s="33"/>
      <c r="AM351" s="33"/>
      <c r="AN351" s="33"/>
      <c r="AO351" s="33"/>
    </row>
    <row r="352" spans="1:41" ht="15.75" customHeight="1" x14ac:dyDescent="0.6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4"/>
      <c r="AL352" s="33"/>
      <c r="AM352" s="33"/>
      <c r="AN352" s="33"/>
      <c r="AO352" s="33"/>
    </row>
    <row r="353" spans="1:41" ht="15.75" customHeight="1" x14ac:dyDescent="0.6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4"/>
      <c r="AL353" s="33"/>
      <c r="AM353" s="33"/>
      <c r="AN353" s="33"/>
      <c r="AO353" s="33"/>
    </row>
    <row r="354" spans="1:41" ht="15.75" customHeight="1" x14ac:dyDescent="0.6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4"/>
      <c r="AL354" s="33"/>
      <c r="AM354" s="33"/>
      <c r="AN354" s="33"/>
      <c r="AO354" s="33"/>
    </row>
    <row r="355" spans="1:41" ht="15.75" customHeight="1" x14ac:dyDescent="0.6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4"/>
      <c r="AL355" s="33"/>
      <c r="AM355" s="33"/>
      <c r="AN355" s="33"/>
      <c r="AO355" s="33"/>
    </row>
    <row r="356" spans="1:41" ht="15.75" customHeight="1" x14ac:dyDescent="0.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4"/>
      <c r="AL356" s="33"/>
      <c r="AM356" s="33"/>
      <c r="AN356" s="33"/>
      <c r="AO356" s="33"/>
    </row>
    <row r="357" spans="1:41" ht="15.75" customHeight="1" x14ac:dyDescent="0.6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4"/>
      <c r="AL357" s="33"/>
      <c r="AM357" s="33"/>
      <c r="AN357" s="33"/>
      <c r="AO357" s="33"/>
    </row>
    <row r="358" spans="1:41" ht="15.75" customHeight="1" x14ac:dyDescent="0.6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4"/>
      <c r="AL358" s="33"/>
      <c r="AM358" s="33"/>
      <c r="AN358" s="33"/>
      <c r="AO358" s="33"/>
    </row>
    <row r="359" spans="1:41" ht="15.75" customHeight="1" x14ac:dyDescent="0.6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4"/>
      <c r="AL359" s="33"/>
      <c r="AM359" s="33"/>
      <c r="AN359" s="33"/>
      <c r="AO359" s="33"/>
    </row>
    <row r="360" spans="1:41" ht="15.75" customHeight="1" x14ac:dyDescent="0.6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4"/>
      <c r="AL360" s="33"/>
      <c r="AM360" s="33"/>
      <c r="AN360" s="33"/>
      <c r="AO360" s="33"/>
    </row>
    <row r="361" spans="1:41" ht="15.75" customHeight="1" x14ac:dyDescent="0.6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4"/>
      <c r="AL361" s="33"/>
      <c r="AM361" s="33"/>
      <c r="AN361" s="33"/>
      <c r="AO361" s="33"/>
    </row>
    <row r="362" spans="1:41" ht="15.75" customHeight="1" x14ac:dyDescent="0.6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4"/>
      <c r="AL362" s="33"/>
      <c r="AM362" s="33"/>
      <c r="AN362" s="33"/>
      <c r="AO362" s="33"/>
    </row>
    <row r="363" spans="1:41" ht="15.75" customHeight="1" x14ac:dyDescent="0.6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4"/>
      <c r="AL363" s="33"/>
      <c r="AM363" s="33"/>
      <c r="AN363" s="33"/>
      <c r="AO363" s="33"/>
    </row>
    <row r="364" spans="1:41" ht="15.75" customHeight="1" x14ac:dyDescent="0.6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4"/>
      <c r="AL364" s="33"/>
      <c r="AM364" s="33"/>
      <c r="AN364" s="33"/>
      <c r="AO364" s="33"/>
    </row>
    <row r="365" spans="1:41" ht="15.75" customHeight="1" x14ac:dyDescent="0.6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4"/>
      <c r="AL365" s="33"/>
      <c r="AM365" s="33"/>
      <c r="AN365" s="33"/>
      <c r="AO365" s="33"/>
    </row>
    <row r="366" spans="1:41" ht="15.75" customHeight="1" x14ac:dyDescent="0.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4"/>
      <c r="AL366" s="33"/>
      <c r="AM366" s="33"/>
      <c r="AN366" s="33"/>
      <c r="AO366" s="33"/>
    </row>
    <row r="367" spans="1:41" ht="15.75" customHeight="1" x14ac:dyDescent="0.6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4"/>
      <c r="AL367" s="33"/>
      <c r="AM367" s="33"/>
      <c r="AN367" s="33"/>
      <c r="AO367" s="33"/>
    </row>
    <row r="368" spans="1:41" ht="15.75" customHeight="1" x14ac:dyDescent="0.6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4"/>
      <c r="AL368" s="33"/>
      <c r="AM368" s="33"/>
      <c r="AN368" s="33"/>
      <c r="AO368" s="33"/>
    </row>
    <row r="369" spans="1:41" ht="15.75" customHeight="1" x14ac:dyDescent="0.6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4"/>
      <c r="AL369" s="33"/>
      <c r="AM369" s="33"/>
      <c r="AN369" s="33"/>
      <c r="AO369" s="33"/>
    </row>
    <row r="370" spans="1:41" ht="15.75" customHeight="1" x14ac:dyDescent="0.6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4"/>
      <c r="AL370" s="33"/>
      <c r="AM370" s="33"/>
      <c r="AN370" s="33"/>
      <c r="AO370" s="33"/>
    </row>
    <row r="371" spans="1:41" ht="15.75" customHeight="1" x14ac:dyDescent="0.6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4"/>
      <c r="AL371" s="33"/>
      <c r="AM371" s="33"/>
      <c r="AN371" s="33"/>
      <c r="AO371" s="33"/>
    </row>
    <row r="372" spans="1:41" ht="15.75" customHeight="1" x14ac:dyDescent="0.6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4"/>
      <c r="AL372" s="33"/>
      <c r="AM372" s="33"/>
      <c r="AN372" s="33"/>
      <c r="AO372" s="33"/>
    </row>
    <row r="373" spans="1:41" ht="15.75" customHeight="1" x14ac:dyDescent="0.6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4"/>
      <c r="AL373" s="33"/>
      <c r="AM373" s="33"/>
      <c r="AN373" s="33"/>
      <c r="AO373" s="33"/>
    </row>
    <row r="374" spans="1:41" ht="15.75" customHeight="1" x14ac:dyDescent="0.6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4"/>
      <c r="AL374" s="33"/>
      <c r="AM374" s="33"/>
      <c r="AN374" s="33"/>
      <c r="AO374" s="33"/>
    </row>
    <row r="375" spans="1:41" ht="15.75" customHeight="1" x14ac:dyDescent="0.6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4"/>
      <c r="AL375" s="33"/>
      <c r="AM375" s="33"/>
      <c r="AN375" s="33"/>
      <c r="AO375" s="33"/>
    </row>
    <row r="376" spans="1:41" ht="15.75" customHeight="1" x14ac:dyDescent="0.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4"/>
      <c r="AL376" s="33"/>
      <c r="AM376" s="33"/>
      <c r="AN376" s="33"/>
      <c r="AO376" s="33"/>
    </row>
    <row r="377" spans="1:41" ht="15.75" customHeight="1" x14ac:dyDescent="0.6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4"/>
      <c r="AL377" s="33"/>
      <c r="AM377" s="33"/>
      <c r="AN377" s="33"/>
      <c r="AO377" s="33"/>
    </row>
    <row r="378" spans="1:41" ht="15.75" customHeight="1" x14ac:dyDescent="0.6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4"/>
      <c r="AL378" s="33"/>
      <c r="AM378" s="33"/>
      <c r="AN378" s="33"/>
      <c r="AO378" s="33"/>
    </row>
    <row r="379" spans="1:41" ht="15.75" customHeight="1" x14ac:dyDescent="0.6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4"/>
      <c r="AL379" s="33"/>
      <c r="AM379" s="33"/>
      <c r="AN379" s="33"/>
      <c r="AO379" s="33"/>
    </row>
    <row r="380" spans="1:41" ht="15.75" customHeight="1" x14ac:dyDescent="0.6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4"/>
      <c r="AL380" s="33"/>
      <c r="AM380" s="33"/>
      <c r="AN380" s="33"/>
      <c r="AO380" s="33"/>
    </row>
    <row r="381" spans="1:41" ht="15.75" customHeight="1" x14ac:dyDescent="0.6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4"/>
      <c r="AL381" s="33"/>
      <c r="AM381" s="33"/>
      <c r="AN381" s="33"/>
      <c r="AO381" s="33"/>
    </row>
    <row r="382" spans="1:41" ht="15.75" customHeight="1" x14ac:dyDescent="0.6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4"/>
      <c r="AL382" s="33"/>
      <c r="AM382" s="33"/>
      <c r="AN382" s="33"/>
      <c r="AO382" s="33"/>
    </row>
    <row r="383" spans="1:41" ht="15.75" customHeight="1" x14ac:dyDescent="0.6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4"/>
      <c r="AL383" s="33"/>
      <c r="AM383" s="33"/>
      <c r="AN383" s="33"/>
      <c r="AO383" s="33"/>
    </row>
    <row r="384" spans="1:41" ht="15.75" customHeight="1" x14ac:dyDescent="0.6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4"/>
      <c r="AL384" s="33"/>
      <c r="AM384" s="33"/>
      <c r="AN384" s="33"/>
      <c r="AO384" s="33"/>
    </row>
    <row r="385" spans="1:41" ht="15.75" customHeight="1" x14ac:dyDescent="0.6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4"/>
      <c r="AL385" s="33"/>
      <c r="AM385" s="33"/>
      <c r="AN385" s="33"/>
      <c r="AO385" s="33"/>
    </row>
    <row r="386" spans="1:41" ht="15.75" customHeight="1" x14ac:dyDescent="0.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4"/>
      <c r="AL386" s="33"/>
      <c r="AM386" s="33"/>
      <c r="AN386" s="33"/>
      <c r="AO386" s="33"/>
    </row>
    <row r="387" spans="1:41" ht="15.75" customHeight="1" x14ac:dyDescent="0.6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4"/>
      <c r="AL387" s="33"/>
      <c r="AM387" s="33"/>
      <c r="AN387" s="33"/>
      <c r="AO387" s="33"/>
    </row>
    <row r="388" spans="1:41" ht="15.75" customHeight="1" x14ac:dyDescent="0.6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4"/>
      <c r="AL388" s="33"/>
      <c r="AM388" s="33"/>
      <c r="AN388" s="33"/>
      <c r="AO388" s="33"/>
    </row>
    <row r="389" spans="1:41" ht="15.75" customHeight="1" x14ac:dyDescent="0.6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4"/>
      <c r="AL389" s="33"/>
      <c r="AM389" s="33"/>
      <c r="AN389" s="33"/>
      <c r="AO389" s="33"/>
    </row>
    <row r="390" spans="1:41" ht="15.75" customHeight="1" x14ac:dyDescent="0.6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4"/>
      <c r="AL390" s="33"/>
      <c r="AM390" s="33"/>
      <c r="AN390" s="33"/>
      <c r="AO390" s="33"/>
    </row>
    <row r="391" spans="1:41" ht="15.75" customHeight="1" x14ac:dyDescent="0.6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4"/>
      <c r="AL391" s="33"/>
      <c r="AM391" s="33"/>
      <c r="AN391" s="33"/>
      <c r="AO391" s="33"/>
    </row>
    <row r="392" spans="1:41" ht="15.75" customHeight="1" x14ac:dyDescent="0.6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4"/>
      <c r="AL392" s="33"/>
      <c r="AM392" s="33"/>
      <c r="AN392" s="33"/>
      <c r="AO392" s="33"/>
    </row>
    <row r="393" spans="1:41" ht="15.75" customHeight="1" x14ac:dyDescent="0.6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4"/>
      <c r="AL393" s="33"/>
      <c r="AM393" s="33"/>
      <c r="AN393" s="33"/>
      <c r="AO393" s="33"/>
    </row>
    <row r="394" spans="1:41" ht="15.75" customHeight="1" x14ac:dyDescent="0.6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4"/>
      <c r="AL394" s="33"/>
      <c r="AM394" s="33"/>
      <c r="AN394" s="33"/>
      <c r="AO394" s="33"/>
    </row>
    <row r="395" spans="1:41" ht="15.75" customHeight="1" x14ac:dyDescent="0.6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4"/>
      <c r="AL395" s="33"/>
      <c r="AM395" s="33"/>
      <c r="AN395" s="33"/>
      <c r="AO395" s="33"/>
    </row>
    <row r="396" spans="1:41" ht="15.75" customHeight="1" x14ac:dyDescent="0.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4"/>
      <c r="AL396" s="33"/>
      <c r="AM396" s="33"/>
      <c r="AN396" s="33"/>
      <c r="AO396" s="33"/>
    </row>
    <row r="397" spans="1:41" ht="15.75" customHeight="1" x14ac:dyDescent="0.6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4"/>
      <c r="AL397" s="33"/>
      <c r="AM397" s="33"/>
      <c r="AN397" s="33"/>
      <c r="AO397" s="33"/>
    </row>
    <row r="398" spans="1:41" ht="15.75" customHeight="1" x14ac:dyDescent="0.6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4"/>
      <c r="AL398" s="33"/>
      <c r="AM398" s="33"/>
      <c r="AN398" s="33"/>
      <c r="AO398" s="33"/>
    </row>
    <row r="399" spans="1:41" ht="15.75" customHeight="1" x14ac:dyDescent="0.6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4"/>
      <c r="AL399" s="33"/>
      <c r="AM399" s="33"/>
      <c r="AN399" s="33"/>
      <c r="AO399" s="33"/>
    </row>
    <row r="400" spans="1:41" ht="15.75" customHeight="1" x14ac:dyDescent="0.6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4"/>
      <c r="AL400" s="33"/>
      <c r="AM400" s="33"/>
      <c r="AN400" s="33"/>
      <c r="AO400" s="33"/>
    </row>
    <row r="401" spans="1:41" ht="15.75" customHeight="1" x14ac:dyDescent="0.6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4"/>
      <c r="AL401" s="33"/>
      <c r="AM401" s="33"/>
      <c r="AN401" s="33"/>
      <c r="AO401" s="33"/>
    </row>
    <row r="402" spans="1:41" ht="15.75" customHeight="1" x14ac:dyDescent="0.6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4"/>
      <c r="AL402" s="33"/>
      <c r="AM402" s="33"/>
      <c r="AN402" s="33"/>
      <c r="AO402" s="33"/>
    </row>
    <row r="403" spans="1:41" ht="15.75" customHeight="1" x14ac:dyDescent="0.6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4"/>
      <c r="AL403" s="33"/>
      <c r="AM403" s="33"/>
      <c r="AN403" s="33"/>
      <c r="AO403" s="33"/>
    </row>
    <row r="404" spans="1:41" ht="15.75" customHeight="1" x14ac:dyDescent="0.6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4"/>
      <c r="AL404" s="33"/>
      <c r="AM404" s="33"/>
      <c r="AN404" s="33"/>
      <c r="AO404" s="33"/>
    </row>
    <row r="405" spans="1:41" ht="15.75" customHeight="1" x14ac:dyDescent="0.6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4"/>
      <c r="AL405" s="33"/>
      <c r="AM405" s="33"/>
      <c r="AN405" s="33"/>
      <c r="AO405" s="33"/>
    </row>
    <row r="406" spans="1:41" ht="15.75" customHeight="1" x14ac:dyDescent="0.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4"/>
      <c r="AL406" s="33"/>
      <c r="AM406" s="33"/>
      <c r="AN406" s="33"/>
      <c r="AO406" s="33"/>
    </row>
    <row r="407" spans="1:41" ht="15.75" customHeight="1" x14ac:dyDescent="0.6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4"/>
      <c r="AL407" s="33"/>
      <c r="AM407" s="33"/>
      <c r="AN407" s="33"/>
      <c r="AO407" s="33"/>
    </row>
    <row r="408" spans="1:41" ht="15.75" customHeight="1" x14ac:dyDescent="0.6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4"/>
      <c r="AL408" s="33"/>
      <c r="AM408" s="33"/>
      <c r="AN408" s="33"/>
      <c r="AO408" s="33"/>
    </row>
    <row r="409" spans="1:41" ht="15.75" customHeight="1" x14ac:dyDescent="0.6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4"/>
      <c r="AL409" s="33"/>
      <c r="AM409" s="33"/>
      <c r="AN409" s="33"/>
      <c r="AO409" s="33"/>
    </row>
    <row r="410" spans="1:41" ht="15.75" customHeight="1" x14ac:dyDescent="0.6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4"/>
      <c r="AL410" s="33"/>
      <c r="AM410" s="33"/>
      <c r="AN410" s="33"/>
      <c r="AO410" s="33"/>
    </row>
    <row r="411" spans="1:41" ht="15.75" customHeight="1" x14ac:dyDescent="0.6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4"/>
      <c r="AL411" s="33"/>
      <c r="AM411" s="33"/>
      <c r="AN411" s="33"/>
      <c r="AO411" s="33"/>
    </row>
    <row r="412" spans="1:41" ht="15.75" customHeight="1" x14ac:dyDescent="0.6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4"/>
      <c r="AL412" s="33"/>
      <c r="AM412" s="33"/>
      <c r="AN412" s="33"/>
      <c r="AO412" s="33"/>
    </row>
    <row r="413" spans="1:41" ht="15.75" customHeight="1" x14ac:dyDescent="0.6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4"/>
      <c r="AL413" s="33"/>
      <c r="AM413" s="33"/>
      <c r="AN413" s="33"/>
      <c r="AO413" s="33"/>
    </row>
    <row r="414" spans="1:41" ht="15.75" customHeight="1" x14ac:dyDescent="0.6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4"/>
      <c r="AL414" s="33"/>
      <c r="AM414" s="33"/>
      <c r="AN414" s="33"/>
      <c r="AO414" s="33"/>
    </row>
    <row r="415" spans="1:41" ht="15.75" customHeight="1" x14ac:dyDescent="0.6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4"/>
      <c r="AL415" s="33"/>
      <c r="AM415" s="33"/>
      <c r="AN415" s="33"/>
      <c r="AO415" s="33"/>
    </row>
    <row r="416" spans="1:41" ht="15.75" customHeight="1" x14ac:dyDescent="0.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4"/>
      <c r="AL416" s="33"/>
      <c r="AM416" s="33"/>
      <c r="AN416" s="33"/>
      <c r="AO416" s="33"/>
    </row>
    <row r="417" spans="1:41" ht="15.75" customHeight="1" x14ac:dyDescent="0.6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4"/>
      <c r="AL417" s="33"/>
      <c r="AM417" s="33"/>
      <c r="AN417" s="33"/>
      <c r="AO417" s="33"/>
    </row>
    <row r="418" spans="1:41" ht="15.75" customHeight="1" x14ac:dyDescent="0.6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4"/>
      <c r="AL418" s="33"/>
      <c r="AM418" s="33"/>
      <c r="AN418" s="33"/>
      <c r="AO418" s="33"/>
    </row>
    <row r="419" spans="1:41" ht="15.75" customHeight="1" x14ac:dyDescent="0.6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4"/>
      <c r="AL419" s="33"/>
      <c r="AM419" s="33"/>
      <c r="AN419" s="33"/>
      <c r="AO419" s="33"/>
    </row>
    <row r="420" spans="1:41" ht="15.75" customHeight="1" x14ac:dyDescent="0.6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4"/>
      <c r="AL420" s="33"/>
      <c r="AM420" s="33"/>
      <c r="AN420" s="33"/>
      <c r="AO420" s="33"/>
    </row>
    <row r="421" spans="1:41" ht="15.75" customHeight="1" x14ac:dyDescent="0.6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4"/>
      <c r="AL421" s="33"/>
      <c r="AM421" s="33"/>
      <c r="AN421" s="33"/>
      <c r="AO421" s="33"/>
    </row>
    <row r="422" spans="1:41" ht="15.75" customHeight="1" x14ac:dyDescent="0.6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4"/>
      <c r="AL422" s="33"/>
      <c r="AM422" s="33"/>
      <c r="AN422" s="33"/>
      <c r="AO422" s="33"/>
    </row>
    <row r="423" spans="1:41" ht="15.75" customHeight="1" x14ac:dyDescent="0.6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4"/>
      <c r="AL423" s="33"/>
      <c r="AM423" s="33"/>
      <c r="AN423" s="33"/>
      <c r="AO423" s="33"/>
    </row>
    <row r="424" spans="1:41" ht="15.75" customHeight="1" x14ac:dyDescent="0.6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4"/>
      <c r="AL424" s="33"/>
      <c r="AM424" s="33"/>
      <c r="AN424" s="33"/>
      <c r="AO424" s="33"/>
    </row>
    <row r="425" spans="1:41" ht="15.75" customHeight="1" x14ac:dyDescent="0.6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4"/>
      <c r="AL425" s="33"/>
      <c r="AM425" s="33"/>
      <c r="AN425" s="33"/>
      <c r="AO425" s="33"/>
    </row>
    <row r="426" spans="1:41" ht="15.75" customHeight="1" x14ac:dyDescent="0.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4"/>
      <c r="AL426" s="33"/>
      <c r="AM426" s="33"/>
      <c r="AN426" s="33"/>
      <c r="AO426" s="33"/>
    </row>
    <row r="427" spans="1:41" ht="15.75" customHeight="1" x14ac:dyDescent="0.6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4"/>
      <c r="AL427" s="33"/>
      <c r="AM427" s="33"/>
      <c r="AN427" s="33"/>
      <c r="AO427" s="33"/>
    </row>
    <row r="428" spans="1:41" ht="15.75" customHeight="1" x14ac:dyDescent="0.6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4"/>
      <c r="AL428" s="33"/>
      <c r="AM428" s="33"/>
      <c r="AN428" s="33"/>
      <c r="AO428" s="33"/>
    </row>
    <row r="429" spans="1:41" ht="15.75" customHeight="1" x14ac:dyDescent="0.6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4"/>
      <c r="AL429" s="33"/>
      <c r="AM429" s="33"/>
      <c r="AN429" s="33"/>
      <c r="AO429" s="33"/>
    </row>
    <row r="430" spans="1:41" ht="15.75" customHeight="1" x14ac:dyDescent="0.6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4"/>
      <c r="AL430" s="33"/>
      <c r="AM430" s="33"/>
      <c r="AN430" s="33"/>
      <c r="AO430" s="33"/>
    </row>
    <row r="431" spans="1:41" ht="15.75" customHeight="1" x14ac:dyDescent="0.6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4"/>
      <c r="AL431" s="33"/>
      <c r="AM431" s="33"/>
      <c r="AN431" s="33"/>
      <c r="AO431" s="33"/>
    </row>
    <row r="432" spans="1:41" ht="15.75" customHeight="1" x14ac:dyDescent="0.6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4"/>
      <c r="AL432" s="33"/>
      <c r="AM432" s="33"/>
      <c r="AN432" s="33"/>
      <c r="AO432" s="33"/>
    </row>
    <row r="433" spans="1:41" ht="15.75" customHeight="1" x14ac:dyDescent="0.6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4"/>
      <c r="AL433" s="33"/>
      <c r="AM433" s="33"/>
      <c r="AN433" s="33"/>
      <c r="AO433" s="33"/>
    </row>
    <row r="434" spans="1:41" ht="15.75" customHeight="1" x14ac:dyDescent="0.6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4"/>
      <c r="AL434" s="33"/>
      <c r="AM434" s="33"/>
      <c r="AN434" s="33"/>
      <c r="AO434" s="33"/>
    </row>
    <row r="435" spans="1:41" ht="15.75" customHeight="1" x14ac:dyDescent="0.6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4"/>
      <c r="AL435" s="33"/>
      <c r="AM435" s="33"/>
      <c r="AN435" s="33"/>
      <c r="AO435" s="33"/>
    </row>
    <row r="436" spans="1:41" ht="15.75" customHeight="1" x14ac:dyDescent="0.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4"/>
      <c r="AL436" s="33"/>
      <c r="AM436" s="33"/>
      <c r="AN436" s="33"/>
      <c r="AO436" s="33"/>
    </row>
    <row r="437" spans="1:41" ht="15.75" customHeight="1" x14ac:dyDescent="0.6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4"/>
      <c r="AL437" s="33"/>
      <c r="AM437" s="33"/>
      <c r="AN437" s="33"/>
      <c r="AO437" s="33"/>
    </row>
    <row r="438" spans="1:41" ht="15.75" customHeight="1" x14ac:dyDescent="0.6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4"/>
      <c r="AL438" s="33"/>
      <c r="AM438" s="33"/>
      <c r="AN438" s="33"/>
      <c r="AO438" s="33"/>
    </row>
    <row r="439" spans="1:41" ht="15.75" customHeight="1" x14ac:dyDescent="0.6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4"/>
      <c r="AL439" s="33"/>
      <c r="AM439" s="33"/>
      <c r="AN439" s="33"/>
      <c r="AO439" s="33"/>
    </row>
    <row r="440" spans="1:41" ht="15.75" customHeight="1" x14ac:dyDescent="0.6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4"/>
      <c r="AL440" s="33"/>
      <c r="AM440" s="33"/>
      <c r="AN440" s="33"/>
      <c r="AO440" s="33"/>
    </row>
    <row r="441" spans="1:41" ht="15.75" customHeight="1" x14ac:dyDescent="0.6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4"/>
      <c r="AL441" s="33"/>
      <c r="AM441" s="33"/>
      <c r="AN441" s="33"/>
      <c r="AO441" s="33"/>
    </row>
    <row r="442" spans="1:41" ht="15.75" customHeight="1" x14ac:dyDescent="0.6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4"/>
      <c r="AL442" s="33"/>
      <c r="AM442" s="33"/>
      <c r="AN442" s="33"/>
      <c r="AO442" s="33"/>
    </row>
    <row r="443" spans="1:41" ht="15.75" customHeight="1" x14ac:dyDescent="0.6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4"/>
      <c r="AL443" s="33"/>
      <c r="AM443" s="33"/>
      <c r="AN443" s="33"/>
      <c r="AO443" s="33"/>
    </row>
    <row r="444" spans="1:41" ht="15.75" customHeight="1" x14ac:dyDescent="0.6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4"/>
      <c r="AL444" s="33"/>
      <c r="AM444" s="33"/>
      <c r="AN444" s="33"/>
      <c r="AO444" s="33"/>
    </row>
    <row r="445" spans="1:41" ht="15.75" customHeight="1" x14ac:dyDescent="0.6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4"/>
      <c r="AL445" s="33"/>
      <c r="AM445" s="33"/>
      <c r="AN445" s="33"/>
      <c r="AO445" s="33"/>
    </row>
    <row r="446" spans="1:41" ht="15.75" customHeight="1" x14ac:dyDescent="0.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4"/>
      <c r="AL446" s="33"/>
      <c r="AM446" s="33"/>
      <c r="AN446" s="33"/>
      <c r="AO446" s="33"/>
    </row>
    <row r="447" spans="1:41" ht="15.75" customHeight="1" x14ac:dyDescent="0.6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4"/>
      <c r="AL447" s="33"/>
      <c r="AM447" s="33"/>
      <c r="AN447" s="33"/>
      <c r="AO447" s="33"/>
    </row>
    <row r="448" spans="1:41" ht="15.75" customHeight="1" x14ac:dyDescent="0.6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4"/>
      <c r="AL448" s="33"/>
      <c r="AM448" s="33"/>
      <c r="AN448" s="33"/>
      <c r="AO448" s="33"/>
    </row>
    <row r="449" spans="1:41" ht="15.75" customHeight="1" x14ac:dyDescent="0.6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4"/>
      <c r="AL449" s="33"/>
      <c r="AM449" s="33"/>
      <c r="AN449" s="33"/>
      <c r="AO449" s="33"/>
    </row>
    <row r="450" spans="1:41" ht="15.75" customHeight="1" x14ac:dyDescent="0.6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4"/>
      <c r="AL450" s="33"/>
      <c r="AM450" s="33"/>
      <c r="AN450" s="33"/>
      <c r="AO450" s="33"/>
    </row>
    <row r="451" spans="1:41" ht="15.75" customHeight="1" x14ac:dyDescent="0.6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4"/>
      <c r="AL451" s="33"/>
      <c r="AM451" s="33"/>
      <c r="AN451" s="33"/>
      <c r="AO451" s="33"/>
    </row>
    <row r="452" spans="1:41" ht="15.75" customHeight="1" x14ac:dyDescent="0.6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4"/>
      <c r="AL452" s="33"/>
      <c r="AM452" s="33"/>
      <c r="AN452" s="33"/>
      <c r="AO452" s="33"/>
    </row>
    <row r="453" spans="1:41" ht="15.75" customHeight="1" x14ac:dyDescent="0.6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4"/>
      <c r="AL453" s="33"/>
      <c r="AM453" s="33"/>
      <c r="AN453" s="33"/>
      <c r="AO453" s="33"/>
    </row>
    <row r="454" spans="1:41" ht="15.75" customHeight="1" x14ac:dyDescent="0.6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4"/>
      <c r="AL454" s="33"/>
      <c r="AM454" s="33"/>
      <c r="AN454" s="33"/>
      <c r="AO454" s="33"/>
    </row>
    <row r="455" spans="1:41" ht="15.75" customHeight="1" x14ac:dyDescent="0.6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4"/>
      <c r="AL455" s="33"/>
      <c r="AM455" s="33"/>
      <c r="AN455" s="33"/>
      <c r="AO455" s="33"/>
    </row>
    <row r="456" spans="1:41" ht="15.75" customHeight="1" x14ac:dyDescent="0.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4"/>
      <c r="AL456" s="33"/>
      <c r="AM456" s="33"/>
      <c r="AN456" s="33"/>
      <c r="AO456" s="33"/>
    </row>
    <row r="457" spans="1:41" ht="15.75" customHeight="1" x14ac:dyDescent="0.6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4"/>
      <c r="AL457" s="33"/>
      <c r="AM457" s="33"/>
      <c r="AN457" s="33"/>
      <c r="AO457" s="33"/>
    </row>
    <row r="458" spans="1:41" ht="15.75" customHeight="1" x14ac:dyDescent="0.6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4"/>
      <c r="AL458" s="33"/>
      <c r="AM458" s="33"/>
      <c r="AN458" s="33"/>
      <c r="AO458" s="33"/>
    </row>
    <row r="459" spans="1:41" ht="15.75" customHeight="1" x14ac:dyDescent="0.6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4"/>
      <c r="AL459" s="33"/>
      <c r="AM459" s="33"/>
      <c r="AN459" s="33"/>
      <c r="AO459" s="33"/>
    </row>
    <row r="460" spans="1:41" ht="15.75" customHeight="1" x14ac:dyDescent="0.6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4"/>
      <c r="AL460" s="33"/>
      <c r="AM460" s="33"/>
      <c r="AN460" s="33"/>
      <c r="AO460" s="33"/>
    </row>
    <row r="461" spans="1:41" ht="15.75" customHeight="1" x14ac:dyDescent="0.6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4"/>
      <c r="AL461" s="33"/>
      <c r="AM461" s="33"/>
      <c r="AN461" s="33"/>
      <c r="AO461" s="33"/>
    </row>
    <row r="462" spans="1:41" ht="15.75" customHeight="1" x14ac:dyDescent="0.6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4"/>
      <c r="AL462" s="33"/>
      <c r="AM462" s="33"/>
      <c r="AN462" s="33"/>
      <c r="AO462" s="33"/>
    </row>
    <row r="463" spans="1:41" ht="15.75" customHeight="1" x14ac:dyDescent="0.6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4"/>
      <c r="AL463" s="33"/>
      <c r="AM463" s="33"/>
      <c r="AN463" s="33"/>
      <c r="AO463" s="33"/>
    </row>
    <row r="464" spans="1:41" ht="15.75" customHeight="1" x14ac:dyDescent="0.6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4"/>
      <c r="AL464" s="33"/>
      <c r="AM464" s="33"/>
      <c r="AN464" s="33"/>
      <c r="AO464" s="33"/>
    </row>
    <row r="465" spans="1:41" ht="15.75" customHeight="1" x14ac:dyDescent="0.6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4"/>
      <c r="AL465" s="33"/>
      <c r="AM465" s="33"/>
      <c r="AN465" s="33"/>
      <c r="AO465" s="33"/>
    </row>
    <row r="466" spans="1:41" ht="15.75" customHeight="1" x14ac:dyDescent="0.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4"/>
      <c r="AL466" s="33"/>
      <c r="AM466" s="33"/>
      <c r="AN466" s="33"/>
      <c r="AO466" s="33"/>
    </row>
    <row r="467" spans="1:41" ht="15.75" customHeight="1" x14ac:dyDescent="0.6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4"/>
      <c r="AL467" s="33"/>
      <c r="AM467" s="33"/>
      <c r="AN467" s="33"/>
      <c r="AO467" s="33"/>
    </row>
    <row r="468" spans="1:41" ht="15.75" customHeight="1" x14ac:dyDescent="0.6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4"/>
      <c r="AL468" s="33"/>
      <c r="AM468" s="33"/>
      <c r="AN468" s="33"/>
      <c r="AO468" s="33"/>
    </row>
    <row r="469" spans="1:41" ht="15.75" customHeight="1" x14ac:dyDescent="0.6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4"/>
      <c r="AL469" s="33"/>
      <c r="AM469" s="33"/>
      <c r="AN469" s="33"/>
      <c r="AO469" s="33"/>
    </row>
    <row r="470" spans="1:41" ht="15.75" customHeight="1" x14ac:dyDescent="0.6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4"/>
      <c r="AL470" s="33"/>
      <c r="AM470" s="33"/>
      <c r="AN470" s="33"/>
      <c r="AO470" s="33"/>
    </row>
    <row r="471" spans="1:41" ht="15.75" customHeight="1" x14ac:dyDescent="0.6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4"/>
      <c r="AL471" s="33"/>
      <c r="AM471" s="33"/>
      <c r="AN471" s="33"/>
      <c r="AO471" s="33"/>
    </row>
    <row r="472" spans="1:41" ht="15.75" customHeight="1" x14ac:dyDescent="0.6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4"/>
      <c r="AL472" s="33"/>
      <c r="AM472" s="33"/>
      <c r="AN472" s="33"/>
      <c r="AO472" s="33"/>
    </row>
    <row r="473" spans="1:41" ht="15.75" customHeight="1" x14ac:dyDescent="0.6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4"/>
      <c r="AL473" s="33"/>
      <c r="AM473" s="33"/>
      <c r="AN473" s="33"/>
      <c r="AO473" s="33"/>
    </row>
    <row r="474" spans="1:41" ht="15.75" customHeight="1" x14ac:dyDescent="0.6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4"/>
      <c r="AL474" s="33"/>
      <c r="AM474" s="33"/>
      <c r="AN474" s="33"/>
      <c r="AO474" s="33"/>
    </row>
    <row r="475" spans="1:41" ht="15.75" customHeight="1" x14ac:dyDescent="0.6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4"/>
      <c r="AL475" s="33"/>
      <c r="AM475" s="33"/>
      <c r="AN475" s="33"/>
      <c r="AO475" s="33"/>
    </row>
    <row r="476" spans="1:41" ht="15.75" customHeight="1" x14ac:dyDescent="0.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4"/>
      <c r="AL476" s="33"/>
      <c r="AM476" s="33"/>
      <c r="AN476" s="33"/>
      <c r="AO476" s="33"/>
    </row>
    <row r="477" spans="1:41" ht="15.75" customHeight="1" x14ac:dyDescent="0.6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4"/>
      <c r="AL477" s="33"/>
      <c r="AM477" s="33"/>
      <c r="AN477" s="33"/>
      <c r="AO477" s="33"/>
    </row>
    <row r="478" spans="1:41" ht="15.75" customHeight="1" x14ac:dyDescent="0.6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4"/>
      <c r="AL478" s="33"/>
      <c r="AM478" s="33"/>
      <c r="AN478" s="33"/>
      <c r="AO478" s="33"/>
    </row>
    <row r="479" spans="1:41" ht="15.75" customHeight="1" x14ac:dyDescent="0.6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4"/>
      <c r="AL479" s="33"/>
      <c r="AM479" s="33"/>
      <c r="AN479" s="33"/>
      <c r="AO479" s="33"/>
    </row>
    <row r="480" spans="1:41" ht="15.75" customHeight="1" x14ac:dyDescent="0.6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4"/>
      <c r="AL480" s="33"/>
      <c r="AM480" s="33"/>
      <c r="AN480" s="33"/>
      <c r="AO480" s="33"/>
    </row>
    <row r="481" spans="1:41" ht="15.75" customHeight="1" x14ac:dyDescent="0.6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4"/>
      <c r="AL481" s="33"/>
      <c r="AM481" s="33"/>
      <c r="AN481" s="33"/>
      <c r="AO481" s="33"/>
    </row>
    <row r="482" spans="1:41" ht="15.75" customHeight="1" x14ac:dyDescent="0.6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4"/>
      <c r="AL482" s="33"/>
      <c r="AM482" s="33"/>
      <c r="AN482" s="33"/>
      <c r="AO482" s="33"/>
    </row>
    <row r="483" spans="1:41" ht="15.75" customHeight="1" x14ac:dyDescent="0.6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4"/>
      <c r="AL483" s="33"/>
      <c r="AM483" s="33"/>
      <c r="AN483" s="33"/>
      <c r="AO483" s="33"/>
    </row>
    <row r="484" spans="1:41" ht="15.75" customHeight="1" x14ac:dyDescent="0.6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4"/>
      <c r="AL484" s="33"/>
      <c r="AM484" s="33"/>
      <c r="AN484" s="33"/>
      <c r="AO484" s="33"/>
    </row>
    <row r="485" spans="1:41" ht="15.75" customHeight="1" x14ac:dyDescent="0.6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4"/>
      <c r="AL485" s="33"/>
      <c r="AM485" s="33"/>
      <c r="AN485" s="33"/>
      <c r="AO485" s="33"/>
    </row>
    <row r="486" spans="1:41" ht="15.75" customHeight="1" x14ac:dyDescent="0.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4"/>
      <c r="AL486" s="33"/>
      <c r="AM486" s="33"/>
      <c r="AN486" s="33"/>
      <c r="AO486" s="33"/>
    </row>
    <row r="487" spans="1:41" ht="15.75" customHeight="1" x14ac:dyDescent="0.6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4"/>
      <c r="AL487" s="33"/>
      <c r="AM487" s="33"/>
      <c r="AN487" s="33"/>
      <c r="AO487" s="33"/>
    </row>
    <row r="488" spans="1:41" ht="15.75" customHeight="1" x14ac:dyDescent="0.6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4"/>
      <c r="AL488" s="33"/>
      <c r="AM488" s="33"/>
      <c r="AN488" s="33"/>
      <c r="AO488" s="33"/>
    </row>
    <row r="489" spans="1:41" ht="15.75" customHeight="1" x14ac:dyDescent="0.6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4"/>
      <c r="AL489" s="33"/>
      <c r="AM489" s="33"/>
      <c r="AN489" s="33"/>
      <c r="AO489" s="33"/>
    </row>
    <row r="490" spans="1:41" ht="15.75" customHeight="1" x14ac:dyDescent="0.6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4"/>
      <c r="AL490" s="33"/>
      <c r="AM490" s="33"/>
      <c r="AN490" s="33"/>
      <c r="AO490" s="33"/>
    </row>
    <row r="491" spans="1:41" ht="15.75" customHeight="1" x14ac:dyDescent="0.6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4"/>
      <c r="AL491" s="33"/>
      <c r="AM491" s="33"/>
      <c r="AN491" s="33"/>
      <c r="AO491" s="33"/>
    </row>
    <row r="492" spans="1:41" ht="15.75" customHeight="1" x14ac:dyDescent="0.6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4"/>
      <c r="AL492" s="33"/>
      <c r="AM492" s="33"/>
      <c r="AN492" s="33"/>
      <c r="AO492" s="33"/>
    </row>
    <row r="493" spans="1:41" ht="15.75" customHeight="1" x14ac:dyDescent="0.6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4"/>
      <c r="AL493" s="33"/>
      <c r="AM493" s="33"/>
      <c r="AN493" s="33"/>
      <c r="AO493" s="33"/>
    </row>
    <row r="494" spans="1:41" ht="15.75" customHeight="1" x14ac:dyDescent="0.6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4"/>
      <c r="AL494" s="33"/>
      <c r="AM494" s="33"/>
      <c r="AN494" s="33"/>
      <c r="AO494" s="33"/>
    </row>
    <row r="495" spans="1:41" ht="15.75" customHeight="1" x14ac:dyDescent="0.6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4"/>
      <c r="AL495" s="33"/>
      <c r="AM495" s="33"/>
      <c r="AN495" s="33"/>
      <c r="AO495" s="33"/>
    </row>
    <row r="496" spans="1:41" ht="15.75" customHeight="1" x14ac:dyDescent="0.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4"/>
      <c r="AL496" s="33"/>
      <c r="AM496" s="33"/>
      <c r="AN496" s="33"/>
      <c r="AO496" s="33"/>
    </row>
    <row r="497" spans="1:41" ht="15.75" customHeight="1" x14ac:dyDescent="0.6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4"/>
      <c r="AL497" s="33"/>
      <c r="AM497" s="33"/>
      <c r="AN497" s="33"/>
      <c r="AO497" s="33"/>
    </row>
    <row r="498" spans="1:41" ht="15.75" customHeight="1" x14ac:dyDescent="0.6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4"/>
      <c r="AL498" s="33"/>
      <c r="AM498" s="33"/>
      <c r="AN498" s="33"/>
      <c r="AO498" s="33"/>
    </row>
    <row r="499" spans="1:41" ht="15.75" customHeight="1" x14ac:dyDescent="0.6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4"/>
      <c r="AL499" s="33"/>
      <c r="AM499" s="33"/>
      <c r="AN499" s="33"/>
      <c r="AO499" s="33"/>
    </row>
    <row r="500" spans="1:41" ht="15.75" customHeight="1" x14ac:dyDescent="0.6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4"/>
      <c r="AL500" s="33"/>
      <c r="AM500" s="33"/>
      <c r="AN500" s="33"/>
      <c r="AO500" s="33"/>
    </row>
    <row r="501" spans="1:41" ht="15.75" customHeight="1" x14ac:dyDescent="0.6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4"/>
      <c r="AL501" s="33"/>
      <c r="AM501" s="33"/>
      <c r="AN501" s="33"/>
      <c r="AO501" s="33"/>
    </row>
    <row r="502" spans="1:41" ht="15.75" customHeight="1" x14ac:dyDescent="0.6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4"/>
      <c r="AL502" s="33"/>
      <c r="AM502" s="33"/>
      <c r="AN502" s="33"/>
      <c r="AO502" s="33"/>
    </row>
    <row r="503" spans="1:41" ht="15.75" customHeight="1" x14ac:dyDescent="0.6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4"/>
      <c r="AL503" s="33"/>
      <c r="AM503" s="33"/>
      <c r="AN503" s="33"/>
      <c r="AO503" s="33"/>
    </row>
    <row r="504" spans="1:41" ht="15.75" customHeight="1" x14ac:dyDescent="0.6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4"/>
      <c r="AL504" s="33"/>
      <c r="AM504" s="33"/>
      <c r="AN504" s="33"/>
      <c r="AO504" s="33"/>
    </row>
    <row r="505" spans="1:41" ht="15.75" customHeight="1" x14ac:dyDescent="0.6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4"/>
      <c r="AL505" s="33"/>
      <c r="AM505" s="33"/>
      <c r="AN505" s="33"/>
      <c r="AO505" s="33"/>
    </row>
    <row r="506" spans="1:41" ht="15.75" customHeight="1" x14ac:dyDescent="0.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4"/>
      <c r="AL506" s="33"/>
      <c r="AM506" s="33"/>
      <c r="AN506" s="33"/>
      <c r="AO506" s="33"/>
    </row>
    <row r="507" spans="1:41" ht="15.75" customHeight="1" x14ac:dyDescent="0.6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4"/>
      <c r="AL507" s="33"/>
      <c r="AM507" s="33"/>
      <c r="AN507" s="33"/>
      <c r="AO507" s="33"/>
    </row>
    <row r="508" spans="1:41" ht="15.75" customHeight="1" x14ac:dyDescent="0.6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4"/>
      <c r="AL508" s="33"/>
      <c r="AM508" s="33"/>
      <c r="AN508" s="33"/>
      <c r="AO508" s="33"/>
    </row>
    <row r="509" spans="1:41" ht="15.75" customHeight="1" x14ac:dyDescent="0.6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4"/>
      <c r="AL509" s="33"/>
      <c r="AM509" s="33"/>
      <c r="AN509" s="33"/>
      <c r="AO509" s="33"/>
    </row>
    <row r="510" spans="1:41" ht="15.75" customHeight="1" x14ac:dyDescent="0.6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4"/>
      <c r="AL510" s="33"/>
      <c r="AM510" s="33"/>
      <c r="AN510" s="33"/>
      <c r="AO510" s="33"/>
    </row>
    <row r="511" spans="1:41" ht="15.75" customHeight="1" x14ac:dyDescent="0.6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4"/>
      <c r="AL511" s="33"/>
      <c r="AM511" s="33"/>
      <c r="AN511" s="33"/>
      <c r="AO511" s="33"/>
    </row>
    <row r="512" spans="1:41" ht="15.75" customHeight="1" x14ac:dyDescent="0.6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4"/>
      <c r="AL512" s="33"/>
      <c r="AM512" s="33"/>
      <c r="AN512" s="33"/>
      <c r="AO512" s="33"/>
    </row>
    <row r="513" spans="1:41" ht="15.75" customHeight="1" x14ac:dyDescent="0.6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4"/>
      <c r="AL513" s="33"/>
      <c r="AM513" s="33"/>
      <c r="AN513" s="33"/>
      <c r="AO513" s="33"/>
    </row>
    <row r="514" spans="1:41" ht="15.75" customHeight="1" x14ac:dyDescent="0.6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4"/>
      <c r="AL514" s="33"/>
      <c r="AM514" s="33"/>
      <c r="AN514" s="33"/>
      <c r="AO514" s="33"/>
    </row>
    <row r="515" spans="1:41" ht="15.75" customHeight="1" x14ac:dyDescent="0.6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4"/>
      <c r="AL515" s="33"/>
      <c r="AM515" s="33"/>
      <c r="AN515" s="33"/>
      <c r="AO515" s="33"/>
    </row>
    <row r="516" spans="1:41" ht="15.75" customHeight="1" x14ac:dyDescent="0.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4"/>
      <c r="AL516" s="33"/>
      <c r="AM516" s="33"/>
      <c r="AN516" s="33"/>
      <c r="AO516" s="33"/>
    </row>
    <row r="517" spans="1:41" ht="15.75" customHeight="1" x14ac:dyDescent="0.6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4"/>
      <c r="AL517" s="33"/>
      <c r="AM517" s="33"/>
      <c r="AN517" s="33"/>
      <c r="AO517" s="33"/>
    </row>
    <row r="518" spans="1:41" ht="15.75" customHeight="1" x14ac:dyDescent="0.6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4"/>
      <c r="AL518" s="33"/>
      <c r="AM518" s="33"/>
      <c r="AN518" s="33"/>
      <c r="AO518" s="33"/>
    </row>
    <row r="519" spans="1:41" ht="15.75" customHeight="1" x14ac:dyDescent="0.6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4"/>
      <c r="AL519" s="33"/>
      <c r="AM519" s="33"/>
      <c r="AN519" s="33"/>
      <c r="AO519" s="33"/>
    </row>
    <row r="520" spans="1:41" ht="15.75" customHeight="1" x14ac:dyDescent="0.6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4"/>
      <c r="AL520" s="33"/>
      <c r="AM520" s="33"/>
      <c r="AN520" s="33"/>
      <c r="AO520" s="33"/>
    </row>
    <row r="521" spans="1:41" ht="15.75" customHeight="1" x14ac:dyDescent="0.6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4"/>
      <c r="AL521" s="33"/>
      <c r="AM521" s="33"/>
      <c r="AN521" s="33"/>
      <c r="AO521" s="33"/>
    </row>
    <row r="522" spans="1:41" ht="15.75" customHeight="1" x14ac:dyDescent="0.6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4"/>
      <c r="AL522" s="33"/>
      <c r="AM522" s="33"/>
      <c r="AN522" s="33"/>
      <c r="AO522" s="33"/>
    </row>
    <row r="523" spans="1:41" ht="15.75" customHeight="1" x14ac:dyDescent="0.6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4"/>
      <c r="AL523" s="33"/>
      <c r="AM523" s="33"/>
      <c r="AN523" s="33"/>
      <c r="AO523" s="33"/>
    </row>
    <row r="524" spans="1:41" ht="15.75" customHeight="1" x14ac:dyDescent="0.6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4"/>
      <c r="AL524" s="33"/>
      <c r="AM524" s="33"/>
      <c r="AN524" s="33"/>
      <c r="AO524" s="33"/>
    </row>
    <row r="525" spans="1:41" ht="15.75" customHeight="1" x14ac:dyDescent="0.6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4"/>
      <c r="AL525" s="33"/>
      <c r="AM525" s="33"/>
      <c r="AN525" s="33"/>
      <c r="AO525" s="33"/>
    </row>
    <row r="526" spans="1:41" ht="15.75" customHeight="1" x14ac:dyDescent="0.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4"/>
      <c r="AL526" s="33"/>
      <c r="AM526" s="33"/>
      <c r="AN526" s="33"/>
      <c r="AO526" s="33"/>
    </row>
    <row r="527" spans="1:41" ht="15.75" customHeight="1" x14ac:dyDescent="0.6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4"/>
      <c r="AL527" s="33"/>
      <c r="AM527" s="33"/>
      <c r="AN527" s="33"/>
      <c r="AO527" s="33"/>
    </row>
    <row r="528" spans="1:41" ht="15.75" customHeight="1" x14ac:dyDescent="0.6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4"/>
      <c r="AL528" s="33"/>
      <c r="AM528" s="33"/>
      <c r="AN528" s="33"/>
      <c r="AO528" s="33"/>
    </row>
    <row r="529" spans="1:41" ht="15.75" customHeight="1" x14ac:dyDescent="0.6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4"/>
      <c r="AL529" s="33"/>
      <c r="AM529" s="33"/>
      <c r="AN529" s="33"/>
      <c r="AO529" s="33"/>
    </row>
    <row r="530" spans="1:41" ht="15.75" customHeight="1" x14ac:dyDescent="0.6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4"/>
      <c r="AL530" s="33"/>
      <c r="AM530" s="33"/>
      <c r="AN530" s="33"/>
      <c r="AO530" s="33"/>
    </row>
    <row r="531" spans="1:41" ht="15.75" customHeight="1" x14ac:dyDescent="0.6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4"/>
      <c r="AL531" s="33"/>
      <c r="AM531" s="33"/>
      <c r="AN531" s="33"/>
      <c r="AO531" s="33"/>
    </row>
    <row r="532" spans="1:41" ht="15.75" customHeight="1" x14ac:dyDescent="0.6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4"/>
      <c r="AL532" s="33"/>
      <c r="AM532" s="33"/>
      <c r="AN532" s="33"/>
      <c r="AO532" s="33"/>
    </row>
    <row r="533" spans="1:41" ht="15.75" customHeight="1" x14ac:dyDescent="0.6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4"/>
      <c r="AL533" s="33"/>
      <c r="AM533" s="33"/>
      <c r="AN533" s="33"/>
      <c r="AO533" s="33"/>
    </row>
    <row r="534" spans="1:41" ht="15.75" customHeight="1" x14ac:dyDescent="0.6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4"/>
      <c r="AL534" s="33"/>
      <c r="AM534" s="33"/>
      <c r="AN534" s="33"/>
      <c r="AO534" s="33"/>
    </row>
    <row r="535" spans="1:41" ht="15.75" customHeight="1" x14ac:dyDescent="0.6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4"/>
      <c r="AL535" s="33"/>
      <c r="AM535" s="33"/>
      <c r="AN535" s="33"/>
      <c r="AO535" s="33"/>
    </row>
    <row r="536" spans="1:41" ht="15.75" customHeight="1" x14ac:dyDescent="0.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4"/>
      <c r="AL536" s="33"/>
      <c r="AM536" s="33"/>
      <c r="AN536" s="33"/>
      <c r="AO536" s="33"/>
    </row>
    <row r="537" spans="1:41" ht="15.75" customHeight="1" x14ac:dyDescent="0.6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4"/>
      <c r="AL537" s="33"/>
      <c r="AM537" s="33"/>
      <c r="AN537" s="33"/>
      <c r="AO537" s="33"/>
    </row>
    <row r="538" spans="1:41" ht="15.75" customHeight="1" x14ac:dyDescent="0.6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4"/>
      <c r="AL538" s="33"/>
      <c r="AM538" s="33"/>
      <c r="AN538" s="33"/>
      <c r="AO538" s="33"/>
    </row>
    <row r="539" spans="1:41" ht="15.75" customHeight="1" x14ac:dyDescent="0.6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4"/>
      <c r="AL539" s="33"/>
      <c r="AM539" s="33"/>
      <c r="AN539" s="33"/>
      <c r="AO539" s="33"/>
    </row>
    <row r="540" spans="1:41" ht="15.75" customHeight="1" x14ac:dyDescent="0.6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4"/>
      <c r="AL540" s="33"/>
      <c r="AM540" s="33"/>
      <c r="AN540" s="33"/>
      <c r="AO540" s="33"/>
    </row>
    <row r="541" spans="1:41" ht="15.75" customHeight="1" x14ac:dyDescent="0.6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4"/>
      <c r="AL541" s="33"/>
      <c r="AM541" s="33"/>
      <c r="AN541" s="33"/>
      <c r="AO541" s="33"/>
    </row>
    <row r="542" spans="1:41" ht="15.75" customHeight="1" x14ac:dyDescent="0.6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4"/>
      <c r="AL542" s="33"/>
      <c r="AM542" s="33"/>
      <c r="AN542" s="33"/>
      <c r="AO542" s="33"/>
    </row>
    <row r="543" spans="1:41" ht="15.75" customHeight="1" x14ac:dyDescent="0.6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4"/>
      <c r="AL543" s="33"/>
      <c r="AM543" s="33"/>
      <c r="AN543" s="33"/>
      <c r="AO543" s="33"/>
    </row>
    <row r="544" spans="1:41" ht="15.75" customHeight="1" x14ac:dyDescent="0.6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4"/>
      <c r="AL544" s="33"/>
      <c r="AM544" s="33"/>
      <c r="AN544" s="33"/>
      <c r="AO544" s="33"/>
    </row>
    <row r="545" spans="1:41" ht="15.75" customHeight="1" x14ac:dyDescent="0.6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4"/>
      <c r="AL545" s="33"/>
      <c r="AM545" s="33"/>
      <c r="AN545" s="33"/>
      <c r="AO545" s="33"/>
    </row>
    <row r="546" spans="1:41" ht="15.75" customHeight="1" x14ac:dyDescent="0.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4"/>
      <c r="AL546" s="33"/>
      <c r="AM546" s="33"/>
      <c r="AN546" s="33"/>
      <c r="AO546" s="33"/>
    </row>
    <row r="547" spans="1:41" ht="15.75" customHeight="1" x14ac:dyDescent="0.6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4"/>
      <c r="AL547" s="33"/>
      <c r="AM547" s="33"/>
      <c r="AN547" s="33"/>
      <c r="AO547" s="33"/>
    </row>
    <row r="548" spans="1:41" ht="15.75" customHeight="1" x14ac:dyDescent="0.6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4"/>
      <c r="AL548" s="33"/>
      <c r="AM548" s="33"/>
      <c r="AN548" s="33"/>
      <c r="AO548" s="33"/>
    </row>
    <row r="549" spans="1:41" ht="15.75" customHeight="1" x14ac:dyDescent="0.6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4"/>
      <c r="AL549" s="33"/>
      <c r="AM549" s="33"/>
      <c r="AN549" s="33"/>
      <c r="AO549" s="33"/>
    </row>
    <row r="550" spans="1:41" ht="15.75" customHeight="1" x14ac:dyDescent="0.6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4"/>
      <c r="AL550" s="33"/>
      <c r="AM550" s="33"/>
      <c r="AN550" s="33"/>
      <c r="AO550" s="33"/>
    </row>
    <row r="551" spans="1:41" ht="15.75" customHeight="1" x14ac:dyDescent="0.6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4"/>
      <c r="AL551" s="33"/>
      <c r="AM551" s="33"/>
      <c r="AN551" s="33"/>
      <c r="AO551" s="33"/>
    </row>
    <row r="552" spans="1:41" ht="15.75" customHeight="1" x14ac:dyDescent="0.6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4"/>
      <c r="AL552" s="33"/>
      <c r="AM552" s="33"/>
      <c r="AN552" s="33"/>
      <c r="AO552" s="33"/>
    </row>
    <row r="553" spans="1:41" ht="15.75" customHeight="1" x14ac:dyDescent="0.6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4"/>
      <c r="AL553" s="33"/>
      <c r="AM553" s="33"/>
      <c r="AN553" s="33"/>
      <c r="AO553" s="33"/>
    </row>
    <row r="554" spans="1:41" ht="15.75" customHeight="1" x14ac:dyDescent="0.6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4"/>
      <c r="AL554" s="33"/>
      <c r="AM554" s="33"/>
      <c r="AN554" s="33"/>
      <c r="AO554" s="33"/>
    </row>
    <row r="555" spans="1:41" ht="15.75" customHeight="1" x14ac:dyDescent="0.6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4"/>
      <c r="AL555" s="33"/>
      <c r="AM555" s="33"/>
      <c r="AN555" s="33"/>
      <c r="AO555" s="33"/>
    </row>
    <row r="556" spans="1:41" ht="15.75" customHeight="1" x14ac:dyDescent="0.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4"/>
      <c r="AL556" s="33"/>
      <c r="AM556" s="33"/>
      <c r="AN556" s="33"/>
      <c r="AO556" s="33"/>
    </row>
    <row r="557" spans="1:41" ht="15.75" customHeight="1" x14ac:dyDescent="0.6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4"/>
      <c r="AL557" s="33"/>
      <c r="AM557" s="33"/>
      <c r="AN557" s="33"/>
      <c r="AO557" s="33"/>
    </row>
    <row r="558" spans="1:41" ht="15.75" customHeight="1" x14ac:dyDescent="0.6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4"/>
      <c r="AL558" s="33"/>
      <c r="AM558" s="33"/>
      <c r="AN558" s="33"/>
      <c r="AO558" s="33"/>
    </row>
    <row r="559" spans="1:41" ht="15.75" customHeight="1" x14ac:dyDescent="0.6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4"/>
      <c r="AL559" s="33"/>
      <c r="AM559" s="33"/>
      <c r="AN559" s="33"/>
      <c r="AO559" s="33"/>
    </row>
    <row r="560" spans="1:41" ht="15.75" customHeight="1" x14ac:dyDescent="0.6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4"/>
      <c r="AL560" s="33"/>
      <c r="AM560" s="33"/>
      <c r="AN560" s="33"/>
      <c r="AO560" s="33"/>
    </row>
    <row r="561" spans="1:41" ht="15.75" customHeight="1" x14ac:dyDescent="0.6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4"/>
      <c r="AL561" s="33"/>
      <c r="AM561" s="33"/>
      <c r="AN561" s="33"/>
      <c r="AO561" s="33"/>
    </row>
    <row r="562" spans="1:41" ht="15.75" customHeight="1" x14ac:dyDescent="0.6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4"/>
      <c r="AL562" s="33"/>
      <c r="AM562" s="33"/>
      <c r="AN562" s="33"/>
      <c r="AO562" s="33"/>
    </row>
    <row r="563" spans="1:41" ht="15.75" customHeight="1" x14ac:dyDescent="0.6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4"/>
      <c r="AL563" s="33"/>
      <c r="AM563" s="33"/>
      <c r="AN563" s="33"/>
      <c r="AO563" s="33"/>
    </row>
    <row r="564" spans="1:41" ht="15.75" customHeight="1" x14ac:dyDescent="0.6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4"/>
      <c r="AL564" s="33"/>
      <c r="AM564" s="33"/>
      <c r="AN564" s="33"/>
      <c r="AO564" s="33"/>
    </row>
    <row r="565" spans="1:41" ht="15.75" customHeight="1" x14ac:dyDescent="0.6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4"/>
      <c r="AL565" s="33"/>
      <c r="AM565" s="33"/>
      <c r="AN565" s="33"/>
      <c r="AO565" s="33"/>
    </row>
    <row r="566" spans="1:41" ht="15.75" customHeight="1" x14ac:dyDescent="0.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4"/>
      <c r="AL566" s="33"/>
      <c r="AM566" s="33"/>
      <c r="AN566" s="33"/>
      <c r="AO566" s="33"/>
    </row>
    <row r="567" spans="1:41" ht="15.75" customHeight="1" x14ac:dyDescent="0.6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4"/>
      <c r="AL567" s="33"/>
      <c r="AM567" s="33"/>
      <c r="AN567" s="33"/>
      <c r="AO567" s="33"/>
    </row>
    <row r="568" spans="1:41" ht="15.75" customHeight="1" x14ac:dyDescent="0.6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4"/>
      <c r="AL568" s="33"/>
      <c r="AM568" s="33"/>
      <c r="AN568" s="33"/>
      <c r="AO568" s="33"/>
    </row>
    <row r="569" spans="1:41" ht="15.75" customHeight="1" x14ac:dyDescent="0.6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4"/>
      <c r="AL569" s="33"/>
      <c r="AM569" s="33"/>
      <c r="AN569" s="33"/>
      <c r="AO569" s="33"/>
    </row>
    <row r="570" spans="1:41" ht="15.75" customHeight="1" x14ac:dyDescent="0.6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4"/>
      <c r="AL570" s="33"/>
      <c r="AM570" s="33"/>
      <c r="AN570" s="33"/>
      <c r="AO570" s="33"/>
    </row>
    <row r="571" spans="1:41" ht="15.75" customHeight="1" x14ac:dyDescent="0.6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4"/>
      <c r="AL571" s="33"/>
      <c r="AM571" s="33"/>
      <c r="AN571" s="33"/>
      <c r="AO571" s="33"/>
    </row>
    <row r="572" spans="1:41" ht="15.75" customHeight="1" x14ac:dyDescent="0.6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4"/>
      <c r="AL572" s="33"/>
      <c r="AM572" s="33"/>
      <c r="AN572" s="33"/>
      <c r="AO572" s="33"/>
    </row>
    <row r="573" spans="1:41" ht="15.75" customHeight="1" x14ac:dyDescent="0.6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4"/>
      <c r="AL573" s="33"/>
      <c r="AM573" s="33"/>
      <c r="AN573" s="33"/>
      <c r="AO573" s="33"/>
    </row>
    <row r="574" spans="1:41" ht="15.75" customHeight="1" x14ac:dyDescent="0.6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4"/>
      <c r="AL574" s="33"/>
      <c r="AM574" s="33"/>
      <c r="AN574" s="33"/>
      <c r="AO574" s="33"/>
    </row>
    <row r="575" spans="1:41" ht="15.75" customHeight="1" x14ac:dyDescent="0.6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4"/>
      <c r="AL575" s="33"/>
      <c r="AM575" s="33"/>
      <c r="AN575" s="33"/>
      <c r="AO575" s="33"/>
    </row>
    <row r="576" spans="1:41" ht="15.75" customHeight="1" x14ac:dyDescent="0.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4"/>
      <c r="AL576" s="33"/>
      <c r="AM576" s="33"/>
      <c r="AN576" s="33"/>
      <c r="AO576" s="33"/>
    </row>
    <row r="577" spans="1:41" ht="15.75" customHeight="1" x14ac:dyDescent="0.6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4"/>
      <c r="AL577" s="33"/>
      <c r="AM577" s="33"/>
      <c r="AN577" s="33"/>
      <c r="AO577" s="33"/>
    </row>
    <row r="578" spans="1:41" ht="15.75" customHeight="1" x14ac:dyDescent="0.6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4"/>
      <c r="AL578" s="33"/>
      <c r="AM578" s="33"/>
      <c r="AN578" s="33"/>
      <c r="AO578" s="33"/>
    </row>
    <row r="579" spans="1:41" ht="15.75" customHeight="1" x14ac:dyDescent="0.6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4"/>
      <c r="AL579" s="33"/>
      <c r="AM579" s="33"/>
      <c r="AN579" s="33"/>
      <c r="AO579" s="33"/>
    </row>
    <row r="580" spans="1:41" ht="15.75" customHeight="1" x14ac:dyDescent="0.6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4"/>
      <c r="AL580" s="33"/>
      <c r="AM580" s="33"/>
      <c r="AN580" s="33"/>
      <c r="AO580" s="33"/>
    </row>
    <row r="581" spans="1:41" ht="15.75" customHeight="1" x14ac:dyDescent="0.6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4"/>
      <c r="AL581" s="33"/>
      <c r="AM581" s="33"/>
      <c r="AN581" s="33"/>
      <c r="AO581" s="33"/>
    </row>
    <row r="582" spans="1:41" ht="15.75" customHeight="1" x14ac:dyDescent="0.6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4"/>
      <c r="AL582" s="33"/>
      <c r="AM582" s="33"/>
      <c r="AN582" s="33"/>
      <c r="AO582" s="33"/>
    </row>
    <row r="583" spans="1:41" ht="15.75" customHeight="1" x14ac:dyDescent="0.6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4"/>
      <c r="AL583" s="33"/>
      <c r="AM583" s="33"/>
      <c r="AN583" s="33"/>
      <c r="AO583" s="33"/>
    </row>
    <row r="584" spans="1:41" ht="15.75" customHeight="1" x14ac:dyDescent="0.6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4"/>
      <c r="AL584" s="33"/>
      <c r="AM584" s="33"/>
      <c r="AN584" s="33"/>
      <c r="AO584" s="33"/>
    </row>
    <row r="585" spans="1:41" ht="15.75" customHeight="1" x14ac:dyDescent="0.6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4"/>
      <c r="AL585" s="33"/>
      <c r="AM585" s="33"/>
      <c r="AN585" s="33"/>
      <c r="AO585" s="33"/>
    </row>
    <row r="586" spans="1:41" ht="15.75" customHeight="1" x14ac:dyDescent="0.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4"/>
      <c r="AL586" s="33"/>
      <c r="AM586" s="33"/>
      <c r="AN586" s="33"/>
      <c r="AO586" s="33"/>
    </row>
    <row r="587" spans="1:41" ht="15.75" customHeight="1" x14ac:dyDescent="0.6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4"/>
      <c r="AL587" s="33"/>
      <c r="AM587" s="33"/>
      <c r="AN587" s="33"/>
      <c r="AO587" s="33"/>
    </row>
    <row r="588" spans="1:41" ht="15.75" customHeight="1" x14ac:dyDescent="0.6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4"/>
      <c r="AL588" s="33"/>
      <c r="AM588" s="33"/>
      <c r="AN588" s="33"/>
      <c r="AO588" s="33"/>
    </row>
    <row r="589" spans="1:41" ht="15.75" customHeight="1" x14ac:dyDescent="0.6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4"/>
      <c r="AL589" s="33"/>
      <c r="AM589" s="33"/>
      <c r="AN589" s="33"/>
      <c r="AO589" s="33"/>
    </row>
    <row r="590" spans="1:41" ht="15.75" customHeight="1" x14ac:dyDescent="0.6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4"/>
      <c r="AL590" s="33"/>
      <c r="AM590" s="33"/>
      <c r="AN590" s="33"/>
      <c r="AO590" s="33"/>
    </row>
    <row r="591" spans="1:41" ht="15.75" customHeight="1" x14ac:dyDescent="0.6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4"/>
      <c r="AL591" s="33"/>
      <c r="AM591" s="33"/>
      <c r="AN591" s="33"/>
      <c r="AO591" s="33"/>
    </row>
    <row r="592" spans="1:41" ht="15.75" customHeight="1" x14ac:dyDescent="0.6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4"/>
      <c r="AL592" s="33"/>
      <c r="AM592" s="33"/>
      <c r="AN592" s="33"/>
      <c r="AO592" s="33"/>
    </row>
    <row r="593" spans="1:41" ht="15.75" customHeight="1" x14ac:dyDescent="0.6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4"/>
      <c r="AL593" s="33"/>
      <c r="AM593" s="33"/>
      <c r="AN593" s="33"/>
      <c r="AO593" s="33"/>
    </row>
    <row r="594" spans="1:41" ht="15.75" customHeight="1" x14ac:dyDescent="0.6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4"/>
      <c r="AL594" s="33"/>
      <c r="AM594" s="33"/>
      <c r="AN594" s="33"/>
      <c r="AO594" s="33"/>
    </row>
    <row r="595" spans="1:41" ht="15.75" customHeight="1" x14ac:dyDescent="0.6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4"/>
      <c r="AL595" s="33"/>
      <c r="AM595" s="33"/>
      <c r="AN595" s="33"/>
      <c r="AO595" s="33"/>
    </row>
    <row r="596" spans="1:41" ht="15.75" customHeight="1" x14ac:dyDescent="0.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4"/>
      <c r="AL596" s="33"/>
      <c r="AM596" s="33"/>
      <c r="AN596" s="33"/>
      <c r="AO596" s="33"/>
    </row>
    <row r="597" spans="1:41" ht="15.75" customHeight="1" x14ac:dyDescent="0.6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4"/>
      <c r="AL597" s="33"/>
      <c r="AM597" s="33"/>
      <c r="AN597" s="33"/>
      <c r="AO597" s="33"/>
    </row>
    <row r="598" spans="1:41" ht="15.75" customHeight="1" x14ac:dyDescent="0.6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4"/>
      <c r="AL598" s="33"/>
      <c r="AM598" s="33"/>
      <c r="AN598" s="33"/>
      <c r="AO598" s="33"/>
    </row>
    <row r="599" spans="1:41" ht="15.75" customHeight="1" x14ac:dyDescent="0.6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4"/>
      <c r="AL599" s="33"/>
      <c r="AM599" s="33"/>
      <c r="AN599" s="33"/>
      <c r="AO599" s="33"/>
    </row>
    <row r="600" spans="1:41" ht="15.75" customHeight="1" x14ac:dyDescent="0.6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4"/>
      <c r="AL600" s="33"/>
      <c r="AM600" s="33"/>
      <c r="AN600" s="33"/>
      <c r="AO600" s="33"/>
    </row>
    <row r="601" spans="1:41" ht="15.75" customHeight="1" x14ac:dyDescent="0.6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4"/>
      <c r="AL601" s="33"/>
      <c r="AM601" s="33"/>
      <c r="AN601" s="33"/>
      <c r="AO601" s="33"/>
    </row>
    <row r="602" spans="1:41" ht="15.75" customHeight="1" x14ac:dyDescent="0.6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4"/>
      <c r="AL602" s="33"/>
      <c r="AM602" s="33"/>
      <c r="AN602" s="33"/>
      <c r="AO602" s="33"/>
    </row>
    <row r="603" spans="1:41" ht="15.75" customHeight="1" x14ac:dyDescent="0.6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4"/>
      <c r="AL603" s="33"/>
      <c r="AM603" s="33"/>
      <c r="AN603" s="33"/>
      <c r="AO603" s="33"/>
    </row>
    <row r="604" spans="1:41" ht="15.75" customHeight="1" x14ac:dyDescent="0.6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4"/>
      <c r="AL604" s="33"/>
      <c r="AM604" s="33"/>
      <c r="AN604" s="33"/>
      <c r="AO604" s="33"/>
    </row>
    <row r="605" spans="1:41" ht="15.75" customHeight="1" x14ac:dyDescent="0.6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4"/>
      <c r="AL605" s="33"/>
      <c r="AM605" s="33"/>
      <c r="AN605" s="33"/>
      <c r="AO605" s="33"/>
    </row>
    <row r="606" spans="1:41" ht="15.75" customHeight="1" x14ac:dyDescent="0.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4"/>
      <c r="AL606" s="33"/>
      <c r="AM606" s="33"/>
      <c r="AN606" s="33"/>
      <c r="AO606" s="33"/>
    </row>
    <row r="607" spans="1:41" ht="15.75" customHeight="1" x14ac:dyDescent="0.6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4"/>
      <c r="AL607" s="33"/>
      <c r="AM607" s="33"/>
      <c r="AN607" s="33"/>
      <c r="AO607" s="33"/>
    </row>
    <row r="608" spans="1:41" ht="15.75" customHeight="1" x14ac:dyDescent="0.6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4"/>
      <c r="AL608" s="33"/>
      <c r="AM608" s="33"/>
      <c r="AN608" s="33"/>
      <c r="AO608" s="33"/>
    </row>
    <row r="609" spans="1:41" ht="15.75" customHeight="1" x14ac:dyDescent="0.6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4"/>
      <c r="AL609" s="33"/>
      <c r="AM609" s="33"/>
      <c r="AN609" s="33"/>
      <c r="AO609" s="33"/>
    </row>
    <row r="610" spans="1:41" ht="15.75" customHeight="1" x14ac:dyDescent="0.6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4"/>
      <c r="AL610" s="33"/>
      <c r="AM610" s="33"/>
      <c r="AN610" s="33"/>
      <c r="AO610" s="33"/>
    </row>
    <row r="611" spans="1:41" ht="15.75" customHeight="1" x14ac:dyDescent="0.6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4"/>
      <c r="AL611" s="33"/>
      <c r="AM611" s="33"/>
      <c r="AN611" s="33"/>
      <c r="AO611" s="33"/>
    </row>
    <row r="612" spans="1:41" ht="15.75" customHeight="1" x14ac:dyDescent="0.6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4"/>
      <c r="AL612" s="33"/>
      <c r="AM612" s="33"/>
      <c r="AN612" s="33"/>
      <c r="AO612" s="33"/>
    </row>
    <row r="613" spans="1:41" ht="15.75" customHeight="1" x14ac:dyDescent="0.6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4"/>
      <c r="AL613" s="33"/>
      <c r="AM613" s="33"/>
      <c r="AN613" s="33"/>
      <c r="AO613" s="33"/>
    </row>
    <row r="614" spans="1:41" ht="15.75" customHeight="1" x14ac:dyDescent="0.6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4"/>
      <c r="AL614" s="33"/>
      <c r="AM614" s="33"/>
      <c r="AN614" s="33"/>
      <c r="AO614" s="33"/>
    </row>
    <row r="615" spans="1:41" ht="15.75" customHeight="1" x14ac:dyDescent="0.6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4"/>
      <c r="AL615" s="33"/>
      <c r="AM615" s="33"/>
      <c r="AN615" s="33"/>
      <c r="AO615" s="33"/>
    </row>
    <row r="616" spans="1:41" ht="15.75" customHeight="1" x14ac:dyDescent="0.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4"/>
      <c r="AL616" s="33"/>
      <c r="AM616" s="33"/>
      <c r="AN616" s="33"/>
      <c r="AO616" s="33"/>
    </row>
    <row r="617" spans="1:41" ht="15.75" customHeight="1" x14ac:dyDescent="0.6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4"/>
      <c r="AL617" s="33"/>
      <c r="AM617" s="33"/>
      <c r="AN617" s="33"/>
      <c r="AO617" s="33"/>
    </row>
    <row r="618" spans="1:41" ht="15.75" customHeight="1" x14ac:dyDescent="0.6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4"/>
      <c r="AL618" s="33"/>
      <c r="AM618" s="33"/>
      <c r="AN618" s="33"/>
      <c r="AO618" s="33"/>
    </row>
    <row r="619" spans="1:41" ht="15.75" customHeight="1" x14ac:dyDescent="0.6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4"/>
      <c r="AL619" s="33"/>
      <c r="AM619" s="33"/>
      <c r="AN619" s="33"/>
      <c r="AO619" s="33"/>
    </row>
    <row r="620" spans="1:41" ht="15.75" customHeight="1" x14ac:dyDescent="0.6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4"/>
      <c r="AL620" s="33"/>
      <c r="AM620" s="33"/>
      <c r="AN620" s="33"/>
      <c r="AO620" s="33"/>
    </row>
    <row r="621" spans="1:41" ht="15.75" customHeight="1" x14ac:dyDescent="0.6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4"/>
      <c r="AL621" s="33"/>
      <c r="AM621" s="33"/>
      <c r="AN621" s="33"/>
      <c r="AO621" s="33"/>
    </row>
    <row r="622" spans="1:41" ht="15.75" customHeight="1" x14ac:dyDescent="0.6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4"/>
      <c r="AL622" s="33"/>
      <c r="AM622" s="33"/>
      <c r="AN622" s="33"/>
      <c r="AO622" s="33"/>
    </row>
    <row r="623" spans="1:41" ht="15.75" customHeight="1" x14ac:dyDescent="0.6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4"/>
      <c r="AL623" s="33"/>
      <c r="AM623" s="33"/>
      <c r="AN623" s="33"/>
      <c r="AO623" s="33"/>
    </row>
    <row r="624" spans="1:41" ht="15.75" customHeight="1" x14ac:dyDescent="0.6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4"/>
      <c r="AL624" s="33"/>
      <c r="AM624" s="33"/>
      <c r="AN624" s="33"/>
      <c r="AO624" s="33"/>
    </row>
    <row r="625" spans="1:41" ht="15.75" customHeight="1" x14ac:dyDescent="0.6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4"/>
      <c r="AL625" s="33"/>
      <c r="AM625" s="33"/>
      <c r="AN625" s="33"/>
      <c r="AO625" s="33"/>
    </row>
    <row r="626" spans="1:41" ht="15.75" customHeight="1" x14ac:dyDescent="0.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4"/>
      <c r="AL626" s="33"/>
      <c r="AM626" s="33"/>
      <c r="AN626" s="33"/>
      <c r="AO626" s="33"/>
    </row>
    <row r="627" spans="1:41" ht="15.75" customHeight="1" x14ac:dyDescent="0.6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4"/>
      <c r="AL627" s="33"/>
      <c r="AM627" s="33"/>
      <c r="AN627" s="33"/>
      <c r="AO627" s="33"/>
    </row>
    <row r="628" spans="1:41" ht="15.75" customHeight="1" x14ac:dyDescent="0.6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4"/>
      <c r="AL628" s="33"/>
      <c r="AM628" s="33"/>
      <c r="AN628" s="33"/>
      <c r="AO628" s="33"/>
    </row>
    <row r="629" spans="1:41" ht="15.75" customHeight="1" x14ac:dyDescent="0.6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4"/>
      <c r="AL629" s="33"/>
      <c r="AM629" s="33"/>
      <c r="AN629" s="33"/>
      <c r="AO629" s="33"/>
    </row>
    <row r="630" spans="1:41" ht="15.75" customHeight="1" x14ac:dyDescent="0.6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4"/>
      <c r="AL630" s="33"/>
      <c r="AM630" s="33"/>
      <c r="AN630" s="33"/>
      <c r="AO630" s="33"/>
    </row>
    <row r="631" spans="1:41" ht="15.75" customHeight="1" x14ac:dyDescent="0.6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4"/>
      <c r="AL631" s="33"/>
      <c r="AM631" s="33"/>
      <c r="AN631" s="33"/>
      <c r="AO631" s="33"/>
    </row>
    <row r="632" spans="1:41" ht="15.75" customHeight="1" x14ac:dyDescent="0.6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4"/>
      <c r="AL632" s="33"/>
      <c r="AM632" s="33"/>
      <c r="AN632" s="33"/>
      <c r="AO632" s="33"/>
    </row>
    <row r="633" spans="1:41" ht="15.75" customHeight="1" x14ac:dyDescent="0.6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4"/>
      <c r="AL633" s="33"/>
      <c r="AM633" s="33"/>
      <c r="AN633" s="33"/>
      <c r="AO633" s="33"/>
    </row>
    <row r="634" spans="1:41" ht="15.75" customHeight="1" x14ac:dyDescent="0.6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4"/>
      <c r="AL634" s="33"/>
      <c r="AM634" s="33"/>
      <c r="AN634" s="33"/>
      <c r="AO634" s="33"/>
    </row>
    <row r="635" spans="1:41" ht="15.75" customHeight="1" x14ac:dyDescent="0.6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4"/>
      <c r="AL635" s="33"/>
      <c r="AM635" s="33"/>
      <c r="AN635" s="33"/>
      <c r="AO635" s="33"/>
    </row>
    <row r="636" spans="1:41" ht="15.75" customHeight="1" x14ac:dyDescent="0.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4"/>
      <c r="AL636" s="33"/>
      <c r="AM636" s="33"/>
      <c r="AN636" s="33"/>
      <c r="AO636" s="33"/>
    </row>
    <row r="637" spans="1:41" ht="15.75" customHeight="1" x14ac:dyDescent="0.6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4"/>
      <c r="AL637" s="33"/>
      <c r="AM637" s="33"/>
      <c r="AN637" s="33"/>
      <c r="AO637" s="33"/>
    </row>
    <row r="638" spans="1:41" ht="15.75" customHeight="1" x14ac:dyDescent="0.6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4"/>
      <c r="AL638" s="33"/>
      <c r="AM638" s="33"/>
      <c r="AN638" s="33"/>
      <c r="AO638" s="33"/>
    </row>
    <row r="639" spans="1:41" ht="15.75" customHeight="1" x14ac:dyDescent="0.6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4"/>
      <c r="AL639" s="33"/>
      <c r="AM639" s="33"/>
      <c r="AN639" s="33"/>
      <c r="AO639" s="33"/>
    </row>
    <row r="640" spans="1:41" ht="15.75" customHeight="1" x14ac:dyDescent="0.6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4"/>
      <c r="AL640" s="33"/>
      <c r="AM640" s="33"/>
      <c r="AN640" s="33"/>
      <c r="AO640" s="33"/>
    </row>
    <row r="641" spans="1:41" ht="15.75" customHeight="1" x14ac:dyDescent="0.6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4"/>
      <c r="AL641" s="33"/>
      <c r="AM641" s="33"/>
      <c r="AN641" s="33"/>
      <c r="AO641" s="33"/>
    </row>
    <row r="642" spans="1:41" ht="15.75" customHeight="1" x14ac:dyDescent="0.6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4"/>
      <c r="AL642" s="33"/>
      <c r="AM642" s="33"/>
      <c r="AN642" s="33"/>
      <c r="AO642" s="33"/>
    </row>
    <row r="643" spans="1:41" ht="15.75" customHeight="1" x14ac:dyDescent="0.6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4"/>
      <c r="AL643" s="33"/>
      <c r="AM643" s="33"/>
      <c r="AN643" s="33"/>
      <c r="AO643" s="33"/>
    </row>
    <row r="644" spans="1:41" ht="15.75" customHeight="1" x14ac:dyDescent="0.6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4"/>
      <c r="AL644" s="33"/>
      <c r="AM644" s="33"/>
      <c r="AN644" s="33"/>
      <c r="AO644" s="33"/>
    </row>
    <row r="645" spans="1:41" ht="15.75" customHeight="1" x14ac:dyDescent="0.6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4"/>
      <c r="AL645" s="33"/>
      <c r="AM645" s="33"/>
      <c r="AN645" s="33"/>
      <c r="AO645" s="33"/>
    </row>
    <row r="646" spans="1:41" ht="15.75" customHeight="1" x14ac:dyDescent="0.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4"/>
      <c r="AL646" s="33"/>
      <c r="AM646" s="33"/>
      <c r="AN646" s="33"/>
      <c r="AO646" s="33"/>
    </row>
    <row r="647" spans="1:41" ht="15.75" customHeight="1" x14ac:dyDescent="0.6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4"/>
      <c r="AL647" s="33"/>
      <c r="AM647" s="33"/>
      <c r="AN647" s="33"/>
      <c r="AO647" s="33"/>
    </row>
    <row r="648" spans="1:41" ht="15.75" customHeight="1" x14ac:dyDescent="0.6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4"/>
      <c r="AL648" s="33"/>
      <c r="AM648" s="33"/>
      <c r="AN648" s="33"/>
      <c r="AO648" s="33"/>
    </row>
    <row r="649" spans="1:41" ht="15.75" customHeight="1" x14ac:dyDescent="0.6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4"/>
      <c r="AL649" s="33"/>
      <c r="AM649" s="33"/>
      <c r="AN649" s="33"/>
      <c r="AO649" s="33"/>
    </row>
    <row r="650" spans="1:41" ht="15.75" customHeight="1" x14ac:dyDescent="0.6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4"/>
      <c r="AL650" s="33"/>
      <c r="AM650" s="33"/>
      <c r="AN650" s="33"/>
      <c r="AO650" s="33"/>
    </row>
    <row r="651" spans="1:41" ht="15.75" customHeight="1" x14ac:dyDescent="0.6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4"/>
      <c r="AL651" s="33"/>
      <c r="AM651" s="33"/>
      <c r="AN651" s="33"/>
      <c r="AO651" s="33"/>
    </row>
    <row r="652" spans="1:41" ht="15.75" customHeight="1" x14ac:dyDescent="0.6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4"/>
      <c r="AL652" s="33"/>
      <c r="AM652" s="33"/>
      <c r="AN652" s="33"/>
      <c r="AO652" s="33"/>
    </row>
    <row r="653" spans="1:41" ht="15.75" customHeight="1" x14ac:dyDescent="0.6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4"/>
      <c r="AL653" s="33"/>
      <c r="AM653" s="33"/>
      <c r="AN653" s="33"/>
      <c r="AO653" s="33"/>
    </row>
    <row r="654" spans="1:41" ht="15.75" customHeight="1" x14ac:dyDescent="0.6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4"/>
      <c r="AL654" s="33"/>
      <c r="AM654" s="33"/>
      <c r="AN654" s="33"/>
      <c r="AO654" s="33"/>
    </row>
    <row r="655" spans="1:41" ht="15.75" customHeight="1" x14ac:dyDescent="0.6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4"/>
      <c r="AL655" s="33"/>
      <c r="AM655" s="33"/>
      <c r="AN655" s="33"/>
      <c r="AO655" s="33"/>
    </row>
    <row r="656" spans="1:41" ht="15.75" customHeight="1" x14ac:dyDescent="0.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4"/>
      <c r="AL656" s="33"/>
      <c r="AM656" s="33"/>
      <c r="AN656" s="33"/>
      <c r="AO656" s="33"/>
    </row>
    <row r="657" spans="1:41" ht="15.75" customHeight="1" x14ac:dyDescent="0.6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4"/>
      <c r="AL657" s="33"/>
      <c r="AM657" s="33"/>
      <c r="AN657" s="33"/>
      <c r="AO657" s="33"/>
    </row>
    <row r="658" spans="1:41" ht="15.75" customHeight="1" x14ac:dyDescent="0.6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4"/>
      <c r="AL658" s="33"/>
      <c r="AM658" s="33"/>
      <c r="AN658" s="33"/>
      <c r="AO658" s="33"/>
    </row>
    <row r="659" spans="1:41" ht="15.75" customHeight="1" x14ac:dyDescent="0.6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4"/>
      <c r="AL659" s="33"/>
      <c r="AM659" s="33"/>
      <c r="AN659" s="33"/>
      <c r="AO659" s="33"/>
    </row>
    <row r="660" spans="1:41" ht="15.75" customHeight="1" x14ac:dyDescent="0.6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4"/>
      <c r="AL660" s="33"/>
      <c r="AM660" s="33"/>
      <c r="AN660" s="33"/>
      <c r="AO660" s="33"/>
    </row>
    <row r="661" spans="1:41" ht="15.75" customHeight="1" x14ac:dyDescent="0.6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4"/>
      <c r="AL661" s="33"/>
      <c r="AM661" s="33"/>
      <c r="AN661" s="33"/>
      <c r="AO661" s="33"/>
    </row>
    <row r="662" spans="1:41" ht="15.75" customHeight="1" x14ac:dyDescent="0.6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4"/>
      <c r="AL662" s="33"/>
      <c r="AM662" s="33"/>
      <c r="AN662" s="33"/>
      <c r="AO662" s="33"/>
    </row>
    <row r="663" spans="1:41" ht="15.75" customHeight="1" x14ac:dyDescent="0.6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4"/>
      <c r="AL663" s="33"/>
      <c r="AM663" s="33"/>
      <c r="AN663" s="33"/>
      <c r="AO663" s="33"/>
    </row>
    <row r="664" spans="1:41" ht="15.75" customHeight="1" x14ac:dyDescent="0.6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4"/>
      <c r="AL664" s="33"/>
      <c r="AM664" s="33"/>
      <c r="AN664" s="33"/>
      <c r="AO664" s="33"/>
    </row>
    <row r="665" spans="1:41" ht="15.75" customHeight="1" x14ac:dyDescent="0.6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4"/>
      <c r="AL665" s="33"/>
      <c r="AM665" s="33"/>
      <c r="AN665" s="33"/>
      <c r="AO665" s="33"/>
    </row>
    <row r="666" spans="1:41" ht="15.75" customHeight="1" x14ac:dyDescent="0.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4"/>
      <c r="AL666" s="33"/>
      <c r="AM666" s="33"/>
      <c r="AN666" s="33"/>
      <c r="AO666" s="33"/>
    </row>
    <row r="667" spans="1:41" ht="15.75" customHeight="1" x14ac:dyDescent="0.6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4"/>
      <c r="AL667" s="33"/>
      <c r="AM667" s="33"/>
      <c r="AN667" s="33"/>
      <c r="AO667" s="33"/>
    </row>
    <row r="668" spans="1:41" ht="15.75" customHeight="1" x14ac:dyDescent="0.6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4"/>
      <c r="AL668" s="33"/>
      <c r="AM668" s="33"/>
      <c r="AN668" s="33"/>
      <c r="AO668" s="33"/>
    </row>
    <row r="669" spans="1:41" ht="15.75" customHeight="1" x14ac:dyDescent="0.6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4"/>
      <c r="AL669" s="33"/>
      <c r="AM669" s="33"/>
      <c r="AN669" s="33"/>
      <c r="AO669" s="33"/>
    </row>
    <row r="670" spans="1:41" ht="15.75" customHeight="1" x14ac:dyDescent="0.6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4"/>
      <c r="AL670" s="33"/>
      <c r="AM670" s="33"/>
      <c r="AN670" s="33"/>
      <c r="AO670" s="33"/>
    </row>
    <row r="671" spans="1:41" ht="15.75" customHeight="1" x14ac:dyDescent="0.6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4"/>
      <c r="AL671" s="33"/>
      <c r="AM671" s="33"/>
      <c r="AN671" s="33"/>
      <c r="AO671" s="33"/>
    </row>
    <row r="672" spans="1:41" ht="15.75" customHeight="1" x14ac:dyDescent="0.6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4"/>
      <c r="AL672" s="33"/>
      <c r="AM672" s="33"/>
      <c r="AN672" s="33"/>
      <c r="AO672" s="33"/>
    </row>
    <row r="673" spans="1:41" ht="15.75" customHeight="1" x14ac:dyDescent="0.6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4"/>
      <c r="AL673" s="33"/>
      <c r="AM673" s="33"/>
      <c r="AN673" s="33"/>
      <c r="AO673" s="33"/>
    </row>
    <row r="674" spans="1:41" ht="15.75" customHeight="1" x14ac:dyDescent="0.6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4"/>
      <c r="AL674" s="33"/>
      <c r="AM674" s="33"/>
      <c r="AN674" s="33"/>
      <c r="AO674" s="33"/>
    </row>
    <row r="675" spans="1:41" ht="15.75" customHeight="1" x14ac:dyDescent="0.6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4"/>
      <c r="AL675" s="33"/>
      <c r="AM675" s="33"/>
      <c r="AN675" s="33"/>
      <c r="AO675" s="33"/>
    </row>
    <row r="676" spans="1:41" ht="15.75" customHeight="1" x14ac:dyDescent="0.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4"/>
      <c r="AL676" s="33"/>
      <c r="AM676" s="33"/>
      <c r="AN676" s="33"/>
      <c r="AO676" s="33"/>
    </row>
    <row r="677" spans="1:41" ht="15.75" customHeight="1" x14ac:dyDescent="0.6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4"/>
      <c r="AL677" s="33"/>
      <c r="AM677" s="33"/>
      <c r="AN677" s="33"/>
      <c r="AO677" s="33"/>
    </row>
    <row r="678" spans="1:41" ht="15.75" customHeight="1" x14ac:dyDescent="0.6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4"/>
      <c r="AL678" s="33"/>
      <c r="AM678" s="33"/>
      <c r="AN678" s="33"/>
      <c r="AO678" s="33"/>
    </row>
    <row r="679" spans="1:41" ht="15.75" customHeight="1" x14ac:dyDescent="0.6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4"/>
      <c r="AL679" s="33"/>
      <c r="AM679" s="33"/>
      <c r="AN679" s="33"/>
      <c r="AO679" s="33"/>
    </row>
    <row r="680" spans="1:41" ht="15.75" customHeight="1" x14ac:dyDescent="0.6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4"/>
      <c r="AL680" s="33"/>
      <c r="AM680" s="33"/>
      <c r="AN680" s="33"/>
      <c r="AO680" s="33"/>
    </row>
    <row r="681" spans="1:41" ht="15.75" customHeight="1" x14ac:dyDescent="0.6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4"/>
      <c r="AL681" s="33"/>
      <c r="AM681" s="33"/>
      <c r="AN681" s="33"/>
      <c r="AO681" s="33"/>
    </row>
    <row r="682" spans="1:41" ht="15.75" customHeight="1" x14ac:dyDescent="0.6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4"/>
      <c r="AL682" s="33"/>
      <c r="AM682" s="33"/>
      <c r="AN682" s="33"/>
      <c r="AO682" s="33"/>
    </row>
    <row r="683" spans="1:41" ht="15.75" customHeight="1" x14ac:dyDescent="0.6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4"/>
      <c r="AL683" s="33"/>
      <c r="AM683" s="33"/>
      <c r="AN683" s="33"/>
      <c r="AO683" s="33"/>
    </row>
    <row r="684" spans="1:41" ht="15.75" customHeight="1" x14ac:dyDescent="0.6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4"/>
      <c r="AL684" s="33"/>
      <c r="AM684" s="33"/>
      <c r="AN684" s="33"/>
      <c r="AO684" s="33"/>
    </row>
    <row r="685" spans="1:41" ht="15.75" customHeight="1" x14ac:dyDescent="0.6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4"/>
      <c r="AL685" s="33"/>
      <c r="AM685" s="33"/>
      <c r="AN685" s="33"/>
      <c r="AO685" s="33"/>
    </row>
    <row r="686" spans="1:41" ht="15.75" customHeight="1" x14ac:dyDescent="0.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4"/>
      <c r="AL686" s="33"/>
      <c r="AM686" s="33"/>
      <c r="AN686" s="33"/>
      <c r="AO686" s="33"/>
    </row>
    <row r="687" spans="1:41" ht="15.75" customHeight="1" x14ac:dyDescent="0.6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4"/>
      <c r="AL687" s="33"/>
      <c r="AM687" s="33"/>
      <c r="AN687" s="33"/>
      <c r="AO687" s="33"/>
    </row>
    <row r="688" spans="1:41" ht="15.75" customHeight="1" x14ac:dyDescent="0.6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4"/>
      <c r="AL688" s="33"/>
      <c r="AM688" s="33"/>
      <c r="AN688" s="33"/>
      <c r="AO688" s="33"/>
    </row>
    <row r="689" spans="1:41" ht="15.75" customHeight="1" x14ac:dyDescent="0.6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4"/>
      <c r="AL689" s="33"/>
      <c r="AM689" s="33"/>
      <c r="AN689" s="33"/>
      <c r="AO689" s="33"/>
    </row>
    <row r="690" spans="1:41" ht="15.75" customHeight="1" x14ac:dyDescent="0.6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4"/>
      <c r="AL690" s="33"/>
      <c r="AM690" s="33"/>
      <c r="AN690" s="33"/>
      <c r="AO690" s="33"/>
    </row>
    <row r="691" spans="1:41" ht="15.75" customHeight="1" x14ac:dyDescent="0.6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4"/>
      <c r="AL691" s="33"/>
      <c r="AM691" s="33"/>
      <c r="AN691" s="33"/>
      <c r="AO691" s="33"/>
    </row>
    <row r="692" spans="1:41" ht="15.75" customHeight="1" x14ac:dyDescent="0.6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4"/>
      <c r="AL692" s="33"/>
      <c r="AM692" s="33"/>
      <c r="AN692" s="33"/>
      <c r="AO692" s="33"/>
    </row>
    <row r="693" spans="1:41" ht="15.75" customHeight="1" x14ac:dyDescent="0.6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4"/>
      <c r="AL693" s="33"/>
      <c r="AM693" s="33"/>
      <c r="AN693" s="33"/>
      <c r="AO693" s="33"/>
    </row>
    <row r="694" spans="1:41" ht="15.75" customHeight="1" x14ac:dyDescent="0.6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4"/>
      <c r="AL694" s="33"/>
      <c r="AM694" s="33"/>
      <c r="AN694" s="33"/>
      <c r="AO694" s="33"/>
    </row>
    <row r="695" spans="1:41" ht="15.75" customHeight="1" x14ac:dyDescent="0.6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4"/>
      <c r="AL695" s="33"/>
      <c r="AM695" s="33"/>
      <c r="AN695" s="33"/>
      <c r="AO695" s="33"/>
    </row>
    <row r="696" spans="1:41" ht="15.75" customHeight="1" x14ac:dyDescent="0.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4"/>
      <c r="AL696" s="33"/>
      <c r="AM696" s="33"/>
      <c r="AN696" s="33"/>
      <c r="AO696" s="33"/>
    </row>
    <row r="697" spans="1:41" ht="15.75" customHeight="1" x14ac:dyDescent="0.6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4"/>
      <c r="AL697" s="33"/>
      <c r="AM697" s="33"/>
      <c r="AN697" s="33"/>
      <c r="AO697" s="33"/>
    </row>
    <row r="698" spans="1:41" ht="15.75" customHeight="1" x14ac:dyDescent="0.6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4"/>
      <c r="AL698" s="33"/>
      <c r="AM698" s="33"/>
      <c r="AN698" s="33"/>
      <c r="AO698" s="33"/>
    </row>
    <row r="699" spans="1:41" ht="15.75" customHeight="1" x14ac:dyDescent="0.6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4"/>
      <c r="AL699" s="33"/>
      <c r="AM699" s="33"/>
      <c r="AN699" s="33"/>
      <c r="AO699" s="33"/>
    </row>
    <row r="700" spans="1:41" ht="15.75" customHeight="1" x14ac:dyDescent="0.6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4"/>
      <c r="AL700" s="33"/>
      <c r="AM700" s="33"/>
      <c r="AN700" s="33"/>
      <c r="AO700" s="33"/>
    </row>
    <row r="701" spans="1:41" ht="15.75" customHeight="1" x14ac:dyDescent="0.6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4"/>
      <c r="AL701" s="33"/>
      <c r="AM701" s="33"/>
      <c r="AN701" s="33"/>
      <c r="AO701" s="33"/>
    </row>
    <row r="702" spans="1:41" ht="15.75" customHeight="1" x14ac:dyDescent="0.6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4"/>
      <c r="AL702" s="33"/>
      <c r="AM702" s="33"/>
      <c r="AN702" s="33"/>
      <c r="AO702" s="33"/>
    </row>
    <row r="703" spans="1:41" ht="15.75" customHeight="1" x14ac:dyDescent="0.6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4"/>
      <c r="AL703" s="33"/>
      <c r="AM703" s="33"/>
      <c r="AN703" s="33"/>
      <c r="AO703" s="33"/>
    </row>
    <row r="704" spans="1:41" ht="15.75" customHeight="1" x14ac:dyDescent="0.6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4"/>
      <c r="AL704" s="33"/>
      <c r="AM704" s="33"/>
      <c r="AN704" s="33"/>
      <c r="AO704" s="33"/>
    </row>
    <row r="705" spans="1:41" ht="15.75" customHeight="1" x14ac:dyDescent="0.6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4"/>
      <c r="AL705" s="33"/>
      <c r="AM705" s="33"/>
      <c r="AN705" s="33"/>
      <c r="AO705" s="33"/>
    </row>
    <row r="706" spans="1:41" ht="15.75" customHeight="1" x14ac:dyDescent="0.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4"/>
      <c r="AL706" s="33"/>
      <c r="AM706" s="33"/>
      <c r="AN706" s="33"/>
      <c r="AO706" s="33"/>
    </row>
    <row r="707" spans="1:41" ht="15.75" customHeight="1" x14ac:dyDescent="0.6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4"/>
      <c r="AL707" s="33"/>
      <c r="AM707" s="33"/>
      <c r="AN707" s="33"/>
      <c r="AO707" s="33"/>
    </row>
    <row r="708" spans="1:41" ht="15.75" customHeight="1" x14ac:dyDescent="0.6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4"/>
      <c r="AL708" s="33"/>
      <c r="AM708" s="33"/>
      <c r="AN708" s="33"/>
      <c r="AO708" s="33"/>
    </row>
    <row r="709" spans="1:41" ht="15.75" customHeight="1" x14ac:dyDescent="0.6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4"/>
      <c r="AL709" s="33"/>
      <c r="AM709" s="33"/>
      <c r="AN709" s="33"/>
      <c r="AO709" s="33"/>
    </row>
    <row r="710" spans="1:41" ht="15.75" customHeight="1" x14ac:dyDescent="0.6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4"/>
      <c r="AL710" s="33"/>
      <c r="AM710" s="33"/>
      <c r="AN710" s="33"/>
      <c r="AO710" s="33"/>
    </row>
    <row r="711" spans="1:41" ht="15.75" customHeight="1" x14ac:dyDescent="0.6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4"/>
      <c r="AL711" s="33"/>
      <c r="AM711" s="33"/>
      <c r="AN711" s="33"/>
      <c r="AO711" s="33"/>
    </row>
    <row r="712" spans="1:41" ht="15.75" customHeight="1" x14ac:dyDescent="0.6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4"/>
      <c r="AL712" s="33"/>
      <c r="AM712" s="33"/>
      <c r="AN712" s="33"/>
      <c r="AO712" s="33"/>
    </row>
    <row r="713" spans="1:41" ht="15.75" customHeight="1" x14ac:dyDescent="0.6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4"/>
      <c r="AL713" s="33"/>
      <c r="AM713" s="33"/>
      <c r="AN713" s="33"/>
      <c r="AO713" s="33"/>
    </row>
    <row r="714" spans="1:41" ht="15.75" customHeight="1" x14ac:dyDescent="0.6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4"/>
      <c r="AL714" s="33"/>
      <c r="AM714" s="33"/>
      <c r="AN714" s="33"/>
      <c r="AO714" s="33"/>
    </row>
    <row r="715" spans="1:41" ht="15.75" customHeight="1" x14ac:dyDescent="0.6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4"/>
      <c r="AL715" s="33"/>
      <c r="AM715" s="33"/>
      <c r="AN715" s="33"/>
      <c r="AO715" s="33"/>
    </row>
    <row r="716" spans="1:41" ht="15.75" customHeight="1" x14ac:dyDescent="0.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4"/>
      <c r="AL716" s="33"/>
      <c r="AM716" s="33"/>
      <c r="AN716" s="33"/>
      <c r="AO716" s="33"/>
    </row>
    <row r="717" spans="1:41" ht="15.75" customHeight="1" x14ac:dyDescent="0.6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4"/>
      <c r="AL717" s="33"/>
      <c r="AM717" s="33"/>
      <c r="AN717" s="33"/>
      <c r="AO717" s="33"/>
    </row>
    <row r="718" spans="1:41" ht="15.75" customHeight="1" x14ac:dyDescent="0.6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4"/>
      <c r="AL718" s="33"/>
      <c r="AM718" s="33"/>
      <c r="AN718" s="33"/>
      <c r="AO718" s="33"/>
    </row>
    <row r="719" spans="1:41" ht="15.75" customHeight="1" x14ac:dyDescent="0.6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4"/>
      <c r="AL719" s="33"/>
      <c r="AM719" s="33"/>
      <c r="AN719" s="33"/>
      <c r="AO719" s="33"/>
    </row>
    <row r="720" spans="1:41" ht="15.75" customHeight="1" x14ac:dyDescent="0.6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4"/>
      <c r="AL720" s="33"/>
      <c r="AM720" s="33"/>
      <c r="AN720" s="33"/>
      <c r="AO720" s="33"/>
    </row>
    <row r="721" spans="1:41" ht="15.75" customHeight="1" x14ac:dyDescent="0.6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4"/>
      <c r="AL721" s="33"/>
      <c r="AM721" s="33"/>
      <c r="AN721" s="33"/>
      <c r="AO721" s="33"/>
    </row>
    <row r="722" spans="1:41" ht="15.75" customHeight="1" x14ac:dyDescent="0.6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4"/>
      <c r="AL722" s="33"/>
      <c r="AM722" s="33"/>
      <c r="AN722" s="33"/>
      <c r="AO722" s="33"/>
    </row>
    <row r="723" spans="1:41" ht="15.75" customHeight="1" x14ac:dyDescent="0.6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4"/>
      <c r="AL723" s="33"/>
      <c r="AM723" s="33"/>
      <c r="AN723" s="33"/>
      <c r="AO723" s="33"/>
    </row>
    <row r="724" spans="1:41" ht="15.75" customHeight="1" x14ac:dyDescent="0.6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4"/>
      <c r="AL724" s="33"/>
      <c r="AM724" s="33"/>
      <c r="AN724" s="33"/>
      <c r="AO724" s="33"/>
    </row>
    <row r="725" spans="1:41" ht="15.75" customHeight="1" x14ac:dyDescent="0.6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4"/>
      <c r="AL725" s="33"/>
      <c r="AM725" s="33"/>
      <c r="AN725" s="33"/>
      <c r="AO725" s="33"/>
    </row>
    <row r="726" spans="1:41" ht="15.75" customHeight="1" x14ac:dyDescent="0.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4"/>
      <c r="AL726" s="33"/>
      <c r="AM726" s="33"/>
      <c r="AN726" s="33"/>
      <c r="AO726" s="33"/>
    </row>
    <row r="727" spans="1:41" ht="15.75" customHeight="1" x14ac:dyDescent="0.6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4"/>
      <c r="AL727" s="33"/>
      <c r="AM727" s="33"/>
      <c r="AN727" s="33"/>
      <c r="AO727" s="33"/>
    </row>
    <row r="728" spans="1:41" ht="15.75" customHeight="1" x14ac:dyDescent="0.6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4"/>
      <c r="AL728" s="33"/>
      <c r="AM728" s="33"/>
      <c r="AN728" s="33"/>
      <c r="AO728" s="33"/>
    </row>
    <row r="729" spans="1:41" ht="15.75" customHeight="1" x14ac:dyDescent="0.6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4"/>
      <c r="AL729" s="33"/>
      <c r="AM729" s="33"/>
      <c r="AN729" s="33"/>
      <c r="AO729" s="33"/>
    </row>
    <row r="730" spans="1:41" ht="15.75" customHeight="1" x14ac:dyDescent="0.6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4"/>
      <c r="AL730" s="33"/>
      <c r="AM730" s="33"/>
      <c r="AN730" s="33"/>
      <c r="AO730" s="33"/>
    </row>
    <row r="731" spans="1:41" ht="15.75" customHeight="1" x14ac:dyDescent="0.6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4"/>
      <c r="AL731" s="33"/>
      <c r="AM731" s="33"/>
      <c r="AN731" s="33"/>
      <c r="AO731" s="33"/>
    </row>
    <row r="732" spans="1:41" ht="15.75" customHeight="1" x14ac:dyDescent="0.6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4"/>
      <c r="AL732" s="33"/>
      <c r="AM732" s="33"/>
      <c r="AN732" s="33"/>
      <c r="AO732" s="33"/>
    </row>
    <row r="733" spans="1:41" ht="15.75" customHeight="1" x14ac:dyDescent="0.6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4"/>
      <c r="AL733" s="33"/>
      <c r="AM733" s="33"/>
      <c r="AN733" s="33"/>
      <c r="AO733" s="33"/>
    </row>
    <row r="734" spans="1:41" ht="15.75" customHeight="1" x14ac:dyDescent="0.6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4"/>
      <c r="AL734" s="33"/>
      <c r="AM734" s="33"/>
      <c r="AN734" s="33"/>
      <c r="AO734" s="33"/>
    </row>
    <row r="735" spans="1:41" ht="15.75" customHeight="1" x14ac:dyDescent="0.6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4"/>
      <c r="AL735" s="33"/>
      <c r="AM735" s="33"/>
      <c r="AN735" s="33"/>
      <c r="AO735" s="33"/>
    </row>
    <row r="736" spans="1:41" ht="15.75" customHeight="1" x14ac:dyDescent="0.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4"/>
      <c r="AL736" s="33"/>
      <c r="AM736" s="33"/>
      <c r="AN736" s="33"/>
      <c r="AO736" s="33"/>
    </row>
    <row r="737" spans="1:41" ht="15.75" customHeight="1" x14ac:dyDescent="0.6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4"/>
      <c r="AL737" s="33"/>
      <c r="AM737" s="33"/>
      <c r="AN737" s="33"/>
      <c r="AO737" s="33"/>
    </row>
    <row r="738" spans="1:41" ht="15.75" customHeight="1" x14ac:dyDescent="0.6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4"/>
      <c r="AL738" s="33"/>
      <c r="AM738" s="33"/>
      <c r="AN738" s="33"/>
      <c r="AO738" s="33"/>
    </row>
    <row r="739" spans="1:41" ht="15.75" customHeight="1" x14ac:dyDescent="0.6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4"/>
      <c r="AL739" s="33"/>
      <c r="AM739" s="33"/>
      <c r="AN739" s="33"/>
      <c r="AO739" s="33"/>
    </row>
    <row r="740" spans="1:41" ht="15.75" customHeight="1" x14ac:dyDescent="0.6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4"/>
      <c r="AL740" s="33"/>
      <c r="AM740" s="33"/>
      <c r="AN740" s="33"/>
      <c r="AO740" s="33"/>
    </row>
    <row r="741" spans="1:41" ht="15.75" customHeight="1" x14ac:dyDescent="0.6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4"/>
      <c r="AL741" s="33"/>
      <c r="AM741" s="33"/>
      <c r="AN741" s="33"/>
      <c r="AO741" s="33"/>
    </row>
    <row r="742" spans="1:41" ht="15.75" customHeight="1" x14ac:dyDescent="0.6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4"/>
      <c r="AL742" s="33"/>
      <c r="AM742" s="33"/>
      <c r="AN742" s="33"/>
      <c r="AO742" s="33"/>
    </row>
    <row r="743" spans="1:41" ht="15.75" customHeight="1" x14ac:dyDescent="0.6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4"/>
      <c r="AL743" s="33"/>
      <c r="AM743" s="33"/>
      <c r="AN743" s="33"/>
      <c r="AO743" s="33"/>
    </row>
    <row r="744" spans="1:41" ht="15.75" customHeight="1" x14ac:dyDescent="0.6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4"/>
      <c r="AL744" s="33"/>
      <c r="AM744" s="33"/>
      <c r="AN744" s="33"/>
      <c r="AO744" s="33"/>
    </row>
    <row r="745" spans="1:41" ht="15.75" customHeight="1" x14ac:dyDescent="0.6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4"/>
      <c r="AL745" s="33"/>
      <c r="AM745" s="33"/>
      <c r="AN745" s="33"/>
      <c r="AO745" s="33"/>
    </row>
    <row r="746" spans="1:41" ht="15.75" customHeight="1" x14ac:dyDescent="0.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4"/>
      <c r="AL746" s="33"/>
      <c r="AM746" s="33"/>
      <c r="AN746" s="33"/>
      <c r="AO746" s="33"/>
    </row>
    <row r="747" spans="1:41" ht="15.75" customHeight="1" x14ac:dyDescent="0.6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4"/>
      <c r="AL747" s="33"/>
      <c r="AM747" s="33"/>
      <c r="AN747" s="33"/>
      <c r="AO747" s="33"/>
    </row>
    <row r="748" spans="1:41" ht="15.75" customHeight="1" x14ac:dyDescent="0.6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4"/>
      <c r="AL748" s="33"/>
      <c r="AM748" s="33"/>
      <c r="AN748" s="33"/>
      <c r="AO748" s="33"/>
    </row>
    <row r="749" spans="1:41" ht="15.75" customHeight="1" x14ac:dyDescent="0.6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4"/>
      <c r="AL749" s="33"/>
      <c r="AM749" s="33"/>
      <c r="AN749" s="33"/>
      <c r="AO749" s="33"/>
    </row>
    <row r="750" spans="1:41" ht="15.75" customHeight="1" x14ac:dyDescent="0.6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4"/>
      <c r="AL750" s="33"/>
      <c r="AM750" s="33"/>
      <c r="AN750" s="33"/>
      <c r="AO750" s="33"/>
    </row>
    <row r="751" spans="1:41" ht="15.75" customHeight="1" x14ac:dyDescent="0.6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4"/>
      <c r="AL751" s="33"/>
      <c r="AM751" s="33"/>
      <c r="AN751" s="33"/>
      <c r="AO751" s="33"/>
    </row>
    <row r="752" spans="1:41" ht="15.75" customHeight="1" x14ac:dyDescent="0.6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4"/>
      <c r="AL752" s="33"/>
      <c r="AM752" s="33"/>
      <c r="AN752" s="33"/>
      <c r="AO752" s="33"/>
    </row>
    <row r="753" spans="1:41" ht="15.75" customHeight="1" x14ac:dyDescent="0.6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4"/>
      <c r="AL753" s="33"/>
      <c r="AM753" s="33"/>
      <c r="AN753" s="33"/>
      <c r="AO753" s="33"/>
    </row>
    <row r="754" spans="1:41" ht="15.75" customHeight="1" x14ac:dyDescent="0.6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4"/>
      <c r="AL754" s="33"/>
      <c r="AM754" s="33"/>
      <c r="AN754" s="33"/>
      <c r="AO754" s="33"/>
    </row>
    <row r="755" spans="1:41" ht="15.75" customHeight="1" x14ac:dyDescent="0.6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4"/>
      <c r="AL755" s="33"/>
      <c r="AM755" s="33"/>
      <c r="AN755" s="33"/>
      <c r="AO755" s="33"/>
    </row>
    <row r="756" spans="1:41" ht="15.75" customHeight="1" x14ac:dyDescent="0.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4"/>
      <c r="AL756" s="33"/>
      <c r="AM756" s="33"/>
      <c r="AN756" s="33"/>
      <c r="AO756" s="33"/>
    </row>
    <row r="757" spans="1:41" ht="15.75" customHeight="1" x14ac:dyDescent="0.6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4"/>
      <c r="AL757" s="33"/>
      <c r="AM757" s="33"/>
      <c r="AN757" s="33"/>
      <c r="AO757" s="33"/>
    </row>
    <row r="758" spans="1:41" ht="15.75" customHeight="1" x14ac:dyDescent="0.6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4"/>
      <c r="AL758" s="33"/>
      <c r="AM758" s="33"/>
      <c r="AN758" s="33"/>
      <c r="AO758" s="33"/>
    </row>
    <row r="759" spans="1:41" ht="15.75" customHeight="1" x14ac:dyDescent="0.6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4"/>
      <c r="AL759" s="33"/>
      <c r="AM759" s="33"/>
      <c r="AN759" s="33"/>
      <c r="AO759" s="33"/>
    </row>
    <row r="760" spans="1:41" ht="15.75" customHeight="1" x14ac:dyDescent="0.6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4"/>
      <c r="AL760" s="33"/>
      <c r="AM760" s="33"/>
      <c r="AN760" s="33"/>
      <c r="AO760" s="33"/>
    </row>
    <row r="761" spans="1:41" ht="15.75" customHeight="1" x14ac:dyDescent="0.6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4"/>
      <c r="AL761" s="33"/>
      <c r="AM761" s="33"/>
      <c r="AN761" s="33"/>
      <c r="AO761" s="33"/>
    </row>
    <row r="762" spans="1:41" ht="15.75" customHeight="1" x14ac:dyDescent="0.6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4"/>
      <c r="AL762" s="33"/>
      <c r="AM762" s="33"/>
      <c r="AN762" s="33"/>
      <c r="AO762" s="33"/>
    </row>
    <row r="763" spans="1:41" ht="15.75" customHeight="1" x14ac:dyDescent="0.6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4"/>
      <c r="AL763" s="33"/>
      <c r="AM763" s="33"/>
      <c r="AN763" s="33"/>
      <c r="AO763" s="33"/>
    </row>
    <row r="764" spans="1:41" ht="15.75" customHeight="1" x14ac:dyDescent="0.6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4"/>
      <c r="AL764" s="33"/>
      <c r="AM764" s="33"/>
      <c r="AN764" s="33"/>
      <c r="AO764" s="33"/>
    </row>
    <row r="765" spans="1:41" ht="15.75" customHeight="1" x14ac:dyDescent="0.6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4"/>
      <c r="AL765" s="33"/>
      <c r="AM765" s="33"/>
      <c r="AN765" s="33"/>
      <c r="AO765" s="33"/>
    </row>
    <row r="766" spans="1:41" ht="15.75" customHeight="1" x14ac:dyDescent="0.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4"/>
      <c r="AL766" s="33"/>
      <c r="AM766" s="33"/>
      <c r="AN766" s="33"/>
      <c r="AO766" s="33"/>
    </row>
    <row r="767" spans="1:41" ht="15.75" customHeight="1" x14ac:dyDescent="0.6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4"/>
      <c r="AL767" s="33"/>
      <c r="AM767" s="33"/>
      <c r="AN767" s="33"/>
      <c r="AO767" s="33"/>
    </row>
    <row r="768" spans="1:41" ht="15.75" customHeight="1" x14ac:dyDescent="0.6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4"/>
      <c r="AL768" s="33"/>
      <c r="AM768" s="33"/>
      <c r="AN768" s="33"/>
      <c r="AO768" s="33"/>
    </row>
    <row r="769" spans="1:41" ht="15.75" customHeight="1" x14ac:dyDescent="0.6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4"/>
      <c r="AL769" s="33"/>
      <c r="AM769" s="33"/>
      <c r="AN769" s="33"/>
      <c r="AO769" s="33"/>
    </row>
    <row r="770" spans="1:41" ht="15.75" customHeight="1" x14ac:dyDescent="0.6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4"/>
      <c r="AL770" s="33"/>
      <c r="AM770" s="33"/>
      <c r="AN770" s="33"/>
      <c r="AO770" s="33"/>
    </row>
    <row r="771" spans="1:41" ht="15.75" customHeight="1" x14ac:dyDescent="0.6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4"/>
      <c r="AL771" s="33"/>
      <c r="AM771" s="33"/>
      <c r="AN771" s="33"/>
      <c r="AO771" s="33"/>
    </row>
    <row r="772" spans="1:41" ht="15.75" customHeight="1" x14ac:dyDescent="0.6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4"/>
      <c r="AL772" s="33"/>
      <c r="AM772" s="33"/>
      <c r="AN772" s="33"/>
      <c r="AO772" s="33"/>
    </row>
    <row r="773" spans="1:41" ht="15.75" customHeight="1" x14ac:dyDescent="0.6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4"/>
      <c r="AL773" s="33"/>
      <c r="AM773" s="33"/>
      <c r="AN773" s="33"/>
      <c r="AO773" s="33"/>
    </row>
    <row r="774" spans="1:41" ht="15.75" customHeight="1" x14ac:dyDescent="0.6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4"/>
      <c r="AL774" s="33"/>
      <c r="AM774" s="33"/>
      <c r="AN774" s="33"/>
      <c r="AO774" s="33"/>
    </row>
    <row r="775" spans="1:41" ht="15.75" customHeight="1" x14ac:dyDescent="0.6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4"/>
      <c r="AL775" s="33"/>
      <c r="AM775" s="33"/>
      <c r="AN775" s="33"/>
      <c r="AO775" s="33"/>
    </row>
    <row r="776" spans="1:41" ht="15.75" customHeight="1" x14ac:dyDescent="0.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4"/>
      <c r="AL776" s="33"/>
      <c r="AM776" s="33"/>
      <c r="AN776" s="33"/>
      <c r="AO776" s="33"/>
    </row>
    <row r="777" spans="1:41" ht="15.75" customHeight="1" x14ac:dyDescent="0.6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4"/>
      <c r="AL777" s="33"/>
      <c r="AM777" s="33"/>
      <c r="AN777" s="33"/>
      <c r="AO777" s="33"/>
    </row>
    <row r="778" spans="1:41" ht="15.75" customHeight="1" x14ac:dyDescent="0.6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4"/>
      <c r="AL778" s="33"/>
      <c r="AM778" s="33"/>
      <c r="AN778" s="33"/>
      <c r="AO778" s="33"/>
    </row>
    <row r="779" spans="1:41" ht="15.75" customHeight="1" x14ac:dyDescent="0.6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4"/>
      <c r="AL779" s="33"/>
      <c r="AM779" s="33"/>
      <c r="AN779" s="33"/>
      <c r="AO779" s="33"/>
    </row>
    <row r="780" spans="1:41" ht="15.75" customHeight="1" x14ac:dyDescent="0.6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4"/>
      <c r="AL780" s="33"/>
      <c r="AM780" s="33"/>
      <c r="AN780" s="33"/>
      <c r="AO780" s="33"/>
    </row>
    <row r="781" spans="1:41" ht="15.75" customHeight="1" x14ac:dyDescent="0.6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4"/>
      <c r="AL781" s="33"/>
      <c r="AM781" s="33"/>
      <c r="AN781" s="33"/>
      <c r="AO781" s="33"/>
    </row>
    <row r="782" spans="1:41" ht="15.75" customHeight="1" x14ac:dyDescent="0.6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4"/>
      <c r="AL782" s="33"/>
      <c r="AM782" s="33"/>
      <c r="AN782" s="33"/>
      <c r="AO782" s="33"/>
    </row>
    <row r="783" spans="1:41" ht="15.75" customHeight="1" x14ac:dyDescent="0.6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4"/>
      <c r="AL783" s="33"/>
      <c r="AM783" s="33"/>
      <c r="AN783" s="33"/>
      <c r="AO783" s="33"/>
    </row>
    <row r="784" spans="1:41" ht="15.75" customHeight="1" x14ac:dyDescent="0.6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4"/>
      <c r="AL784" s="33"/>
      <c r="AM784" s="33"/>
      <c r="AN784" s="33"/>
      <c r="AO784" s="33"/>
    </row>
    <row r="785" spans="1:41" ht="15.75" customHeight="1" x14ac:dyDescent="0.6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4"/>
      <c r="AL785" s="33"/>
      <c r="AM785" s="33"/>
      <c r="AN785" s="33"/>
      <c r="AO785" s="33"/>
    </row>
    <row r="786" spans="1:41" ht="15.75" customHeight="1" x14ac:dyDescent="0.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4"/>
      <c r="AL786" s="33"/>
      <c r="AM786" s="33"/>
      <c r="AN786" s="33"/>
      <c r="AO786" s="33"/>
    </row>
    <row r="787" spans="1:41" ht="15.75" customHeight="1" x14ac:dyDescent="0.6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4"/>
      <c r="AL787" s="33"/>
      <c r="AM787" s="33"/>
      <c r="AN787" s="33"/>
      <c r="AO787" s="33"/>
    </row>
    <row r="788" spans="1:41" ht="15.75" customHeight="1" x14ac:dyDescent="0.6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4"/>
      <c r="AL788" s="33"/>
      <c r="AM788" s="33"/>
      <c r="AN788" s="33"/>
      <c r="AO788" s="33"/>
    </row>
    <row r="789" spans="1:41" ht="15.75" customHeight="1" x14ac:dyDescent="0.6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4"/>
      <c r="AL789" s="33"/>
      <c r="AM789" s="33"/>
      <c r="AN789" s="33"/>
      <c r="AO789" s="33"/>
    </row>
    <row r="790" spans="1:41" ht="15.75" customHeight="1" x14ac:dyDescent="0.6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4"/>
      <c r="AL790" s="33"/>
      <c r="AM790" s="33"/>
      <c r="AN790" s="33"/>
      <c r="AO790" s="33"/>
    </row>
    <row r="791" spans="1:41" ht="15.75" customHeight="1" x14ac:dyDescent="0.6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4"/>
      <c r="AL791" s="33"/>
      <c r="AM791" s="33"/>
      <c r="AN791" s="33"/>
      <c r="AO791" s="33"/>
    </row>
    <row r="792" spans="1:41" ht="15.75" customHeight="1" x14ac:dyDescent="0.6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4"/>
      <c r="AL792" s="33"/>
      <c r="AM792" s="33"/>
      <c r="AN792" s="33"/>
      <c r="AO792" s="33"/>
    </row>
    <row r="793" spans="1:41" ht="15.75" customHeight="1" x14ac:dyDescent="0.6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4"/>
      <c r="AL793" s="33"/>
      <c r="AM793" s="33"/>
      <c r="AN793" s="33"/>
      <c r="AO793" s="33"/>
    </row>
    <row r="794" spans="1:41" ht="15.75" customHeight="1" x14ac:dyDescent="0.6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4"/>
      <c r="AL794" s="33"/>
      <c r="AM794" s="33"/>
      <c r="AN794" s="33"/>
      <c r="AO794" s="33"/>
    </row>
    <row r="795" spans="1:41" ht="15.75" customHeight="1" x14ac:dyDescent="0.6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4"/>
      <c r="AL795" s="33"/>
      <c r="AM795" s="33"/>
      <c r="AN795" s="33"/>
      <c r="AO795" s="33"/>
    </row>
    <row r="796" spans="1:41" ht="15.75" customHeight="1" x14ac:dyDescent="0.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4"/>
      <c r="AL796" s="33"/>
      <c r="AM796" s="33"/>
      <c r="AN796" s="33"/>
      <c r="AO796" s="33"/>
    </row>
    <row r="797" spans="1:41" ht="15.75" customHeight="1" x14ac:dyDescent="0.6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4"/>
      <c r="AL797" s="33"/>
      <c r="AM797" s="33"/>
      <c r="AN797" s="33"/>
      <c r="AO797" s="33"/>
    </row>
    <row r="798" spans="1:41" ht="15.75" customHeight="1" x14ac:dyDescent="0.6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4"/>
      <c r="AL798" s="33"/>
      <c r="AM798" s="33"/>
      <c r="AN798" s="33"/>
      <c r="AO798" s="33"/>
    </row>
    <row r="799" spans="1:41" ht="15.75" customHeight="1" x14ac:dyDescent="0.6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4"/>
      <c r="AL799" s="33"/>
      <c r="AM799" s="33"/>
      <c r="AN799" s="33"/>
      <c r="AO799" s="33"/>
    </row>
    <row r="800" spans="1:41" ht="15.75" customHeight="1" x14ac:dyDescent="0.6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4"/>
      <c r="AL800" s="33"/>
      <c r="AM800" s="33"/>
      <c r="AN800" s="33"/>
      <c r="AO800" s="33"/>
    </row>
    <row r="801" spans="1:41" ht="15.75" customHeight="1" x14ac:dyDescent="0.6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4"/>
      <c r="AL801" s="33"/>
      <c r="AM801" s="33"/>
      <c r="AN801" s="33"/>
      <c r="AO801" s="33"/>
    </row>
    <row r="802" spans="1:41" ht="15.75" customHeight="1" x14ac:dyDescent="0.6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4"/>
      <c r="AL802" s="33"/>
      <c r="AM802" s="33"/>
      <c r="AN802" s="33"/>
      <c r="AO802" s="33"/>
    </row>
    <row r="803" spans="1:41" ht="15.75" customHeight="1" x14ac:dyDescent="0.6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4"/>
      <c r="AL803" s="33"/>
      <c r="AM803" s="33"/>
      <c r="AN803" s="33"/>
      <c r="AO803" s="33"/>
    </row>
    <row r="804" spans="1:41" ht="15.75" customHeight="1" x14ac:dyDescent="0.6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4"/>
      <c r="AL804" s="33"/>
      <c r="AM804" s="33"/>
      <c r="AN804" s="33"/>
      <c r="AO804" s="33"/>
    </row>
    <row r="805" spans="1:41" ht="15.75" customHeight="1" x14ac:dyDescent="0.6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4"/>
      <c r="AL805" s="33"/>
      <c r="AM805" s="33"/>
      <c r="AN805" s="33"/>
      <c r="AO805" s="33"/>
    </row>
    <row r="806" spans="1:41" ht="15.75" customHeight="1" x14ac:dyDescent="0.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4"/>
      <c r="AL806" s="33"/>
      <c r="AM806" s="33"/>
      <c r="AN806" s="33"/>
      <c r="AO806" s="33"/>
    </row>
    <row r="807" spans="1:41" ht="15.75" customHeight="1" x14ac:dyDescent="0.6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4"/>
      <c r="AL807" s="33"/>
      <c r="AM807" s="33"/>
      <c r="AN807" s="33"/>
      <c r="AO807" s="33"/>
    </row>
    <row r="808" spans="1:41" ht="15.75" customHeight="1" x14ac:dyDescent="0.6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4"/>
      <c r="AL808" s="33"/>
      <c r="AM808" s="33"/>
      <c r="AN808" s="33"/>
      <c r="AO808" s="33"/>
    </row>
    <row r="809" spans="1:41" ht="15.75" customHeight="1" x14ac:dyDescent="0.6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4"/>
      <c r="AL809" s="33"/>
      <c r="AM809" s="33"/>
      <c r="AN809" s="33"/>
      <c r="AO809" s="33"/>
    </row>
    <row r="810" spans="1:41" ht="15.75" customHeight="1" x14ac:dyDescent="0.6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4"/>
      <c r="AL810" s="33"/>
      <c r="AM810" s="33"/>
      <c r="AN810" s="33"/>
      <c r="AO810" s="33"/>
    </row>
    <row r="811" spans="1:41" ht="15.75" customHeight="1" x14ac:dyDescent="0.6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4"/>
      <c r="AL811" s="33"/>
      <c r="AM811" s="33"/>
      <c r="AN811" s="33"/>
      <c r="AO811" s="33"/>
    </row>
    <row r="812" spans="1:41" ht="15.75" customHeight="1" x14ac:dyDescent="0.6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4"/>
      <c r="AL812" s="33"/>
      <c r="AM812" s="33"/>
      <c r="AN812" s="33"/>
      <c r="AO812" s="33"/>
    </row>
    <row r="813" spans="1:41" ht="15.75" customHeight="1" x14ac:dyDescent="0.6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4"/>
      <c r="AL813" s="33"/>
      <c r="AM813" s="33"/>
      <c r="AN813" s="33"/>
      <c r="AO813" s="33"/>
    </row>
    <row r="814" spans="1:41" ht="15.75" customHeight="1" x14ac:dyDescent="0.6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4"/>
      <c r="AL814" s="33"/>
      <c r="AM814" s="33"/>
      <c r="AN814" s="33"/>
      <c r="AO814" s="33"/>
    </row>
    <row r="815" spans="1:41" ht="15.75" customHeight="1" x14ac:dyDescent="0.6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4"/>
      <c r="AL815" s="33"/>
      <c r="AM815" s="33"/>
      <c r="AN815" s="33"/>
      <c r="AO815" s="33"/>
    </row>
    <row r="816" spans="1:41" ht="15.75" customHeight="1" x14ac:dyDescent="0.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4"/>
      <c r="AL816" s="33"/>
      <c r="AM816" s="33"/>
      <c r="AN816" s="33"/>
      <c r="AO816" s="33"/>
    </row>
    <row r="817" spans="1:41" ht="15.75" customHeight="1" x14ac:dyDescent="0.6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4"/>
      <c r="AL817" s="33"/>
      <c r="AM817" s="33"/>
      <c r="AN817" s="33"/>
      <c r="AO817" s="33"/>
    </row>
    <row r="818" spans="1:41" ht="15.75" customHeight="1" x14ac:dyDescent="0.6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4"/>
      <c r="AL818" s="33"/>
      <c r="AM818" s="33"/>
      <c r="AN818" s="33"/>
      <c r="AO818" s="33"/>
    </row>
    <row r="819" spans="1:41" ht="15.75" customHeight="1" x14ac:dyDescent="0.6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4"/>
      <c r="AL819" s="33"/>
      <c r="AM819" s="33"/>
      <c r="AN819" s="33"/>
      <c r="AO819" s="33"/>
    </row>
    <row r="820" spans="1:41" ht="15.75" customHeight="1" x14ac:dyDescent="0.6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4"/>
      <c r="AL820" s="33"/>
      <c r="AM820" s="33"/>
      <c r="AN820" s="33"/>
      <c r="AO820" s="33"/>
    </row>
    <row r="821" spans="1:41" ht="15.75" customHeight="1" x14ac:dyDescent="0.6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4"/>
      <c r="AL821" s="33"/>
      <c r="AM821" s="33"/>
      <c r="AN821" s="33"/>
      <c r="AO821" s="33"/>
    </row>
    <row r="822" spans="1:41" ht="15.75" customHeight="1" x14ac:dyDescent="0.6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4"/>
      <c r="AL822" s="33"/>
      <c r="AM822" s="33"/>
      <c r="AN822" s="33"/>
      <c r="AO822" s="33"/>
    </row>
    <row r="823" spans="1:41" ht="15.75" customHeight="1" x14ac:dyDescent="0.6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4"/>
      <c r="AL823" s="33"/>
      <c r="AM823" s="33"/>
      <c r="AN823" s="33"/>
      <c r="AO823" s="33"/>
    </row>
    <row r="824" spans="1:41" ht="15.75" customHeight="1" x14ac:dyDescent="0.6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4"/>
      <c r="AL824" s="33"/>
      <c r="AM824" s="33"/>
      <c r="AN824" s="33"/>
      <c r="AO824" s="33"/>
    </row>
    <row r="825" spans="1:41" ht="15.75" customHeight="1" x14ac:dyDescent="0.6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4"/>
      <c r="AL825" s="33"/>
      <c r="AM825" s="33"/>
      <c r="AN825" s="33"/>
      <c r="AO825" s="33"/>
    </row>
    <row r="826" spans="1:41" ht="15.75" customHeight="1" x14ac:dyDescent="0.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4"/>
      <c r="AL826" s="33"/>
      <c r="AM826" s="33"/>
      <c r="AN826" s="33"/>
      <c r="AO826" s="33"/>
    </row>
    <row r="827" spans="1:41" ht="15.75" customHeight="1" x14ac:dyDescent="0.6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4"/>
      <c r="AL827" s="33"/>
      <c r="AM827" s="33"/>
      <c r="AN827" s="33"/>
      <c r="AO827" s="33"/>
    </row>
    <row r="828" spans="1:41" ht="15.75" customHeight="1" x14ac:dyDescent="0.6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4"/>
      <c r="AL828" s="33"/>
      <c r="AM828" s="33"/>
      <c r="AN828" s="33"/>
      <c r="AO828" s="33"/>
    </row>
    <row r="829" spans="1:41" ht="15.75" customHeight="1" x14ac:dyDescent="0.6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4"/>
      <c r="AL829" s="33"/>
      <c r="AM829" s="33"/>
      <c r="AN829" s="33"/>
      <c r="AO829" s="33"/>
    </row>
    <row r="830" spans="1:41" ht="15.75" customHeight="1" x14ac:dyDescent="0.6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4"/>
      <c r="AL830" s="33"/>
      <c r="AM830" s="33"/>
      <c r="AN830" s="33"/>
      <c r="AO830" s="33"/>
    </row>
    <row r="831" spans="1:41" ht="15.75" customHeight="1" x14ac:dyDescent="0.6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4"/>
      <c r="AL831" s="33"/>
      <c r="AM831" s="33"/>
      <c r="AN831" s="33"/>
      <c r="AO831" s="33"/>
    </row>
    <row r="832" spans="1:41" ht="15.75" customHeight="1" x14ac:dyDescent="0.6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4"/>
      <c r="AL832" s="33"/>
      <c r="AM832" s="33"/>
      <c r="AN832" s="33"/>
      <c r="AO832" s="33"/>
    </row>
    <row r="833" spans="1:41" ht="15.75" customHeight="1" x14ac:dyDescent="0.6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4"/>
      <c r="AL833" s="33"/>
      <c r="AM833" s="33"/>
      <c r="AN833" s="33"/>
      <c r="AO833" s="33"/>
    </row>
    <row r="834" spans="1:41" ht="15.75" customHeight="1" x14ac:dyDescent="0.6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4"/>
      <c r="AL834" s="33"/>
      <c r="AM834" s="33"/>
      <c r="AN834" s="33"/>
      <c r="AO834" s="33"/>
    </row>
    <row r="835" spans="1:41" ht="15.75" customHeight="1" x14ac:dyDescent="0.6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4"/>
      <c r="AL835" s="33"/>
      <c r="AM835" s="33"/>
      <c r="AN835" s="33"/>
      <c r="AO835" s="33"/>
    </row>
    <row r="836" spans="1:41" ht="15.75" customHeight="1" x14ac:dyDescent="0.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4"/>
      <c r="AL836" s="33"/>
      <c r="AM836" s="33"/>
      <c r="AN836" s="33"/>
      <c r="AO836" s="33"/>
    </row>
    <row r="837" spans="1:41" ht="15.75" customHeight="1" x14ac:dyDescent="0.6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4"/>
      <c r="AL837" s="33"/>
      <c r="AM837" s="33"/>
      <c r="AN837" s="33"/>
      <c r="AO837" s="33"/>
    </row>
    <row r="838" spans="1:41" ht="15.75" customHeight="1" x14ac:dyDescent="0.6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4"/>
      <c r="AL838" s="33"/>
      <c r="AM838" s="33"/>
      <c r="AN838" s="33"/>
      <c r="AO838" s="33"/>
    </row>
    <row r="839" spans="1:41" ht="15.75" customHeight="1" x14ac:dyDescent="0.6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4"/>
      <c r="AL839" s="33"/>
      <c r="AM839" s="33"/>
      <c r="AN839" s="33"/>
      <c r="AO839" s="33"/>
    </row>
    <row r="840" spans="1:41" ht="15.75" customHeight="1" x14ac:dyDescent="0.6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4"/>
      <c r="AL840" s="33"/>
      <c r="AM840" s="33"/>
      <c r="AN840" s="33"/>
      <c r="AO840" s="33"/>
    </row>
    <row r="841" spans="1:41" ht="15.75" customHeight="1" x14ac:dyDescent="0.6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4"/>
      <c r="AL841" s="33"/>
      <c r="AM841" s="33"/>
      <c r="AN841" s="33"/>
      <c r="AO841" s="33"/>
    </row>
    <row r="842" spans="1:41" ht="15.75" customHeight="1" x14ac:dyDescent="0.6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4"/>
      <c r="AL842" s="33"/>
      <c r="AM842" s="33"/>
      <c r="AN842" s="33"/>
      <c r="AO842" s="33"/>
    </row>
    <row r="843" spans="1:41" ht="15.75" customHeight="1" x14ac:dyDescent="0.6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4"/>
      <c r="AL843" s="33"/>
      <c r="AM843" s="33"/>
      <c r="AN843" s="33"/>
      <c r="AO843" s="33"/>
    </row>
    <row r="844" spans="1:41" ht="15.75" customHeight="1" x14ac:dyDescent="0.6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4"/>
      <c r="AL844" s="33"/>
      <c r="AM844" s="33"/>
      <c r="AN844" s="33"/>
      <c r="AO844" s="33"/>
    </row>
    <row r="845" spans="1:41" ht="15.75" customHeight="1" x14ac:dyDescent="0.6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4"/>
      <c r="AL845" s="33"/>
      <c r="AM845" s="33"/>
      <c r="AN845" s="33"/>
      <c r="AO845" s="33"/>
    </row>
    <row r="846" spans="1:41" ht="15.75" customHeight="1" x14ac:dyDescent="0.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4"/>
      <c r="AL846" s="33"/>
      <c r="AM846" s="33"/>
      <c r="AN846" s="33"/>
      <c r="AO846" s="33"/>
    </row>
    <row r="847" spans="1:41" ht="15.75" customHeight="1" x14ac:dyDescent="0.6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4"/>
      <c r="AL847" s="33"/>
      <c r="AM847" s="33"/>
      <c r="AN847" s="33"/>
      <c r="AO847" s="33"/>
    </row>
    <row r="848" spans="1:41" ht="15.75" customHeight="1" x14ac:dyDescent="0.6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4"/>
      <c r="AL848" s="33"/>
      <c r="AM848" s="33"/>
      <c r="AN848" s="33"/>
      <c r="AO848" s="33"/>
    </row>
    <row r="849" spans="1:41" ht="15.75" customHeight="1" x14ac:dyDescent="0.6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4"/>
      <c r="AL849" s="33"/>
      <c r="AM849" s="33"/>
      <c r="AN849" s="33"/>
      <c r="AO849" s="33"/>
    </row>
    <row r="850" spans="1:41" ht="15.75" customHeight="1" x14ac:dyDescent="0.6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4"/>
      <c r="AL850" s="33"/>
      <c r="AM850" s="33"/>
      <c r="AN850" s="33"/>
      <c r="AO850" s="33"/>
    </row>
    <row r="851" spans="1:41" ht="15.75" customHeight="1" x14ac:dyDescent="0.6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4"/>
      <c r="AL851" s="33"/>
      <c r="AM851" s="33"/>
      <c r="AN851" s="33"/>
      <c r="AO851" s="33"/>
    </row>
    <row r="852" spans="1:41" ht="15.75" customHeight="1" x14ac:dyDescent="0.6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4"/>
      <c r="AL852" s="33"/>
      <c r="AM852" s="33"/>
      <c r="AN852" s="33"/>
      <c r="AO852" s="33"/>
    </row>
    <row r="853" spans="1:41" ht="15.75" customHeight="1" x14ac:dyDescent="0.6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4"/>
      <c r="AL853" s="33"/>
      <c r="AM853" s="33"/>
      <c r="AN853" s="33"/>
      <c r="AO853" s="33"/>
    </row>
    <row r="854" spans="1:41" ht="15.75" customHeight="1" x14ac:dyDescent="0.6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4"/>
      <c r="AL854" s="33"/>
      <c r="AM854" s="33"/>
      <c r="AN854" s="33"/>
      <c r="AO854" s="33"/>
    </row>
    <row r="855" spans="1:41" ht="15.75" customHeight="1" x14ac:dyDescent="0.6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4"/>
      <c r="AL855" s="33"/>
      <c r="AM855" s="33"/>
      <c r="AN855" s="33"/>
      <c r="AO855" s="33"/>
    </row>
    <row r="856" spans="1:41" ht="15.75" customHeight="1" x14ac:dyDescent="0.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4"/>
      <c r="AL856" s="33"/>
      <c r="AM856" s="33"/>
      <c r="AN856" s="33"/>
      <c r="AO856" s="33"/>
    </row>
    <row r="857" spans="1:41" ht="15.75" customHeight="1" x14ac:dyDescent="0.6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4"/>
      <c r="AL857" s="33"/>
      <c r="AM857" s="33"/>
      <c r="AN857" s="33"/>
      <c r="AO857" s="33"/>
    </row>
    <row r="858" spans="1:41" ht="15.75" customHeight="1" x14ac:dyDescent="0.6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4"/>
      <c r="AL858" s="33"/>
      <c r="AM858" s="33"/>
      <c r="AN858" s="33"/>
      <c r="AO858" s="33"/>
    </row>
    <row r="859" spans="1:41" ht="15.75" customHeight="1" x14ac:dyDescent="0.6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4"/>
      <c r="AL859" s="33"/>
      <c r="AM859" s="33"/>
      <c r="AN859" s="33"/>
      <c r="AO859" s="33"/>
    </row>
    <row r="860" spans="1:41" ht="15.75" customHeight="1" x14ac:dyDescent="0.6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4"/>
      <c r="AL860" s="33"/>
      <c r="AM860" s="33"/>
      <c r="AN860" s="33"/>
      <c r="AO860" s="33"/>
    </row>
    <row r="861" spans="1:41" ht="15.75" customHeight="1" x14ac:dyDescent="0.6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4"/>
      <c r="AL861" s="33"/>
      <c r="AM861" s="33"/>
      <c r="AN861" s="33"/>
      <c r="AO861" s="33"/>
    </row>
    <row r="862" spans="1:41" ht="15.75" customHeight="1" x14ac:dyDescent="0.6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4"/>
      <c r="AL862" s="33"/>
      <c r="AM862" s="33"/>
      <c r="AN862" s="33"/>
      <c r="AO862" s="33"/>
    </row>
    <row r="863" spans="1:41" ht="15.75" customHeight="1" x14ac:dyDescent="0.6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4"/>
      <c r="AL863" s="33"/>
      <c r="AM863" s="33"/>
      <c r="AN863" s="33"/>
      <c r="AO863" s="33"/>
    </row>
    <row r="864" spans="1:41" ht="15.75" customHeight="1" x14ac:dyDescent="0.6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4"/>
      <c r="AL864" s="33"/>
      <c r="AM864" s="33"/>
      <c r="AN864" s="33"/>
      <c r="AO864" s="33"/>
    </row>
    <row r="865" spans="1:41" ht="15.75" customHeight="1" x14ac:dyDescent="0.6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4"/>
      <c r="AL865" s="33"/>
      <c r="AM865" s="33"/>
      <c r="AN865" s="33"/>
      <c r="AO865" s="33"/>
    </row>
    <row r="866" spans="1:41" ht="15.75" customHeight="1" x14ac:dyDescent="0.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4"/>
      <c r="AL866" s="33"/>
      <c r="AM866" s="33"/>
      <c r="AN866" s="33"/>
      <c r="AO866" s="33"/>
    </row>
    <row r="867" spans="1:41" ht="15.75" customHeight="1" x14ac:dyDescent="0.6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4"/>
      <c r="AL867" s="33"/>
      <c r="AM867" s="33"/>
      <c r="AN867" s="33"/>
      <c r="AO867" s="33"/>
    </row>
    <row r="868" spans="1:41" ht="15.75" customHeight="1" x14ac:dyDescent="0.6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4"/>
      <c r="AL868" s="33"/>
      <c r="AM868" s="33"/>
      <c r="AN868" s="33"/>
      <c r="AO868" s="33"/>
    </row>
    <row r="869" spans="1:41" ht="15.75" customHeight="1" x14ac:dyDescent="0.6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4"/>
      <c r="AL869" s="33"/>
      <c r="AM869" s="33"/>
      <c r="AN869" s="33"/>
      <c r="AO869" s="33"/>
    </row>
    <row r="870" spans="1:41" ht="15.75" customHeight="1" x14ac:dyDescent="0.6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4"/>
      <c r="AL870" s="33"/>
      <c r="AM870" s="33"/>
      <c r="AN870" s="33"/>
      <c r="AO870" s="33"/>
    </row>
    <row r="871" spans="1:41" ht="15.75" customHeight="1" x14ac:dyDescent="0.6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4"/>
      <c r="AL871" s="33"/>
      <c r="AM871" s="33"/>
      <c r="AN871" s="33"/>
      <c r="AO871" s="33"/>
    </row>
    <row r="872" spans="1:41" ht="15.75" customHeight="1" x14ac:dyDescent="0.6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4"/>
      <c r="AL872" s="33"/>
      <c r="AM872" s="33"/>
      <c r="AN872" s="33"/>
      <c r="AO872" s="33"/>
    </row>
    <row r="873" spans="1:41" ht="15.75" customHeight="1" x14ac:dyDescent="0.6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4"/>
      <c r="AL873" s="33"/>
      <c r="AM873" s="33"/>
      <c r="AN873" s="33"/>
      <c r="AO873" s="33"/>
    </row>
    <row r="874" spans="1:41" ht="15.75" customHeight="1" x14ac:dyDescent="0.6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4"/>
      <c r="AL874" s="33"/>
      <c r="AM874" s="33"/>
      <c r="AN874" s="33"/>
      <c r="AO874" s="33"/>
    </row>
    <row r="875" spans="1:41" ht="15.75" customHeight="1" x14ac:dyDescent="0.6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4"/>
      <c r="AL875" s="33"/>
      <c r="AM875" s="33"/>
      <c r="AN875" s="33"/>
      <c r="AO875" s="33"/>
    </row>
    <row r="876" spans="1:41" ht="15.75" customHeight="1" x14ac:dyDescent="0.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4"/>
      <c r="AL876" s="33"/>
      <c r="AM876" s="33"/>
      <c r="AN876" s="33"/>
      <c r="AO876" s="33"/>
    </row>
    <row r="877" spans="1:41" ht="15.75" customHeight="1" x14ac:dyDescent="0.6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4"/>
      <c r="AL877" s="33"/>
      <c r="AM877" s="33"/>
      <c r="AN877" s="33"/>
      <c r="AO877" s="33"/>
    </row>
    <row r="878" spans="1:41" ht="15.75" customHeight="1" x14ac:dyDescent="0.6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4"/>
      <c r="AL878" s="33"/>
      <c r="AM878" s="33"/>
      <c r="AN878" s="33"/>
      <c r="AO878" s="33"/>
    </row>
    <row r="879" spans="1:41" ht="15.75" customHeight="1" x14ac:dyDescent="0.6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4"/>
      <c r="AL879" s="33"/>
      <c r="AM879" s="33"/>
      <c r="AN879" s="33"/>
      <c r="AO879" s="33"/>
    </row>
    <row r="880" spans="1:41" ht="15.75" customHeight="1" x14ac:dyDescent="0.6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4"/>
      <c r="AL880" s="33"/>
      <c r="AM880" s="33"/>
      <c r="AN880" s="33"/>
      <c r="AO880" s="33"/>
    </row>
    <row r="881" spans="1:41" ht="15.75" customHeight="1" x14ac:dyDescent="0.6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4"/>
      <c r="AL881" s="33"/>
      <c r="AM881" s="33"/>
      <c r="AN881" s="33"/>
      <c r="AO881" s="33"/>
    </row>
    <row r="882" spans="1:41" ht="15.75" customHeight="1" x14ac:dyDescent="0.6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4"/>
      <c r="AL882" s="33"/>
      <c r="AM882" s="33"/>
      <c r="AN882" s="33"/>
      <c r="AO882" s="33"/>
    </row>
    <row r="883" spans="1:41" ht="15.75" customHeight="1" x14ac:dyDescent="0.6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4"/>
      <c r="AL883" s="33"/>
      <c r="AM883" s="33"/>
      <c r="AN883" s="33"/>
      <c r="AO883" s="33"/>
    </row>
    <row r="884" spans="1:41" ht="15.75" customHeight="1" x14ac:dyDescent="0.6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4"/>
      <c r="AL884" s="33"/>
      <c r="AM884" s="33"/>
      <c r="AN884" s="33"/>
      <c r="AO884" s="33"/>
    </row>
    <row r="885" spans="1:41" ht="15.75" customHeight="1" x14ac:dyDescent="0.6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4"/>
      <c r="AL885" s="33"/>
      <c r="AM885" s="33"/>
      <c r="AN885" s="33"/>
      <c r="AO885" s="33"/>
    </row>
    <row r="886" spans="1:41" ht="15.75" customHeight="1" x14ac:dyDescent="0.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4"/>
      <c r="AL886" s="33"/>
      <c r="AM886" s="33"/>
      <c r="AN886" s="33"/>
      <c r="AO886" s="33"/>
    </row>
    <row r="887" spans="1:41" ht="15.75" customHeight="1" x14ac:dyDescent="0.6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4"/>
      <c r="AL887" s="33"/>
      <c r="AM887" s="33"/>
      <c r="AN887" s="33"/>
      <c r="AO887" s="33"/>
    </row>
    <row r="888" spans="1:41" ht="15.75" customHeight="1" x14ac:dyDescent="0.6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4"/>
      <c r="AL888" s="33"/>
      <c r="AM888" s="33"/>
      <c r="AN888" s="33"/>
      <c r="AO888" s="33"/>
    </row>
    <row r="889" spans="1:41" ht="15.75" customHeight="1" x14ac:dyDescent="0.6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4"/>
      <c r="AL889" s="33"/>
      <c r="AM889" s="33"/>
      <c r="AN889" s="33"/>
      <c r="AO889" s="33"/>
    </row>
    <row r="890" spans="1:41" ht="15.75" customHeight="1" x14ac:dyDescent="0.6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4"/>
      <c r="AL890" s="33"/>
      <c r="AM890" s="33"/>
      <c r="AN890" s="33"/>
      <c r="AO890" s="33"/>
    </row>
    <row r="891" spans="1:41" ht="15.75" customHeight="1" x14ac:dyDescent="0.6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4"/>
      <c r="AL891" s="33"/>
      <c r="AM891" s="33"/>
      <c r="AN891" s="33"/>
      <c r="AO891" s="33"/>
    </row>
    <row r="892" spans="1:41" ht="15.75" customHeight="1" x14ac:dyDescent="0.6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4"/>
      <c r="AL892" s="33"/>
      <c r="AM892" s="33"/>
      <c r="AN892" s="33"/>
      <c r="AO892" s="33"/>
    </row>
    <row r="893" spans="1:41" ht="15.75" customHeight="1" x14ac:dyDescent="0.6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4"/>
      <c r="AL893" s="33"/>
      <c r="AM893" s="33"/>
      <c r="AN893" s="33"/>
      <c r="AO893" s="33"/>
    </row>
    <row r="894" spans="1:41" ht="15.75" customHeight="1" x14ac:dyDescent="0.6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4"/>
      <c r="AL894" s="33"/>
      <c r="AM894" s="33"/>
      <c r="AN894" s="33"/>
      <c r="AO894" s="33"/>
    </row>
    <row r="895" spans="1:41" ht="15.75" customHeight="1" x14ac:dyDescent="0.6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4"/>
      <c r="AL895" s="33"/>
      <c r="AM895" s="33"/>
      <c r="AN895" s="33"/>
      <c r="AO895" s="33"/>
    </row>
    <row r="896" spans="1:41" ht="15.75" customHeight="1" x14ac:dyDescent="0.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4"/>
      <c r="AL896" s="33"/>
      <c r="AM896" s="33"/>
      <c r="AN896" s="33"/>
      <c r="AO896" s="33"/>
    </row>
    <row r="897" spans="1:41" ht="15.75" customHeight="1" x14ac:dyDescent="0.6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4"/>
      <c r="AL897" s="33"/>
      <c r="AM897" s="33"/>
      <c r="AN897" s="33"/>
      <c r="AO897" s="33"/>
    </row>
    <row r="898" spans="1:41" ht="15.75" customHeight="1" x14ac:dyDescent="0.6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4"/>
      <c r="AL898" s="33"/>
      <c r="AM898" s="33"/>
      <c r="AN898" s="33"/>
      <c r="AO898" s="33"/>
    </row>
    <row r="899" spans="1:41" ht="15.75" customHeight="1" x14ac:dyDescent="0.6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4"/>
      <c r="AL899" s="33"/>
      <c r="AM899" s="33"/>
      <c r="AN899" s="33"/>
      <c r="AO899" s="33"/>
    </row>
    <row r="900" spans="1:41" ht="15.75" customHeight="1" x14ac:dyDescent="0.6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4"/>
      <c r="AL900" s="33"/>
      <c r="AM900" s="33"/>
      <c r="AN900" s="33"/>
      <c r="AO900" s="33"/>
    </row>
    <row r="901" spans="1:41" ht="15.75" customHeight="1" x14ac:dyDescent="0.6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4"/>
      <c r="AL901" s="33"/>
      <c r="AM901" s="33"/>
      <c r="AN901" s="33"/>
      <c r="AO901" s="33"/>
    </row>
    <row r="902" spans="1:41" ht="15.75" customHeight="1" x14ac:dyDescent="0.6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4"/>
      <c r="AL902" s="33"/>
      <c r="AM902" s="33"/>
      <c r="AN902" s="33"/>
      <c r="AO902" s="33"/>
    </row>
    <row r="903" spans="1:41" ht="15.75" customHeight="1" x14ac:dyDescent="0.6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4"/>
      <c r="AL903" s="33"/>
      <c r="AM903" s="33"/>
      <c r="AN903" s="33"/>
      <c r="AO903" s="33"/>
    </row>
    <row r="904" spans="1:41" ht="15.75" customHeight="1" x14ac:dyDescent="0.6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4"/>
      <c r="AL904" s="33"/>
      <c r="AM904" s="33"/>
      <c r="AN904" s="33"/>
      <c r="AO904" s="33"/>
    </row>
    <row r="905" spans="1:41" ht="15.75" customHeight="1" x14ac:dyDescent="0.6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4"/>
      <c r="AL905" s="33"/>
      <c r="AM905" s="33"/>
      <c r="AN905" s="33"/>
      <c r="AO905" s="33"/>
    </row>
    <row r="906" spans="1:41" ht="15.75" customHeight="1" x14ac:dyDescent="0.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4"/>
      <c r="AL906" s="33"/>
      <c r="AM906" s="33"/>
      <c r="AN906" s="33"/>
      <c r="AO906" s="33"/>
    </row>
    <row r="907" spans="1:41" ht="15.75" customHeight="1" x14ac:dyDescent="0.6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4"/>
      <c r="AL907" s="33"/>
      <c r="AM907" s="33"/>
      <c r="AN907" s="33"/>
      <c r="AO907" s="33"/>
    </row>
    <row r="908" spans="1:41" ht="15.75" customHeight="1" x14ac:dyDescent="0.6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4"/>
      <c r="AL908" s="33"/>
      <c r="AM908" s="33"/>
      <c r="AN908" s="33"/>
      <c r="AO908" s="33"/>
    </row>
    <row r="909" spans="1:41" ht="15.75" customHeight="1" x14ac:dyDescent="0.6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4"/>
      <c r="AL909" s="33"/>
      <c r="AM909" s="33"/>
      <c r="AN909" s="33"/>
      <c r="AO909" s="33"/>
    </row>
    <row r="910" spans="1:41" ht="15.75" customHeight="1" x14ac:dyDescent="0.6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4"/>
      <c r="AL910" s="33"/>
      <c r="AM910" s="33"/>
      <c r="AN910" s="33"/>
      <c r="AO910" s="33"/>
    </row>
    <row r="911" spans="1:41" ht="15.75" customHeight="1" x14ac:dyDescent="0.6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4"/>
      <c r="AL911" s="33"/>
      <c r="AM911" s="33"/>
      <c r="AN911" s="33"/>
      <c r="AO911" s="33"/>
    </row>
    <row r="912" spans="1:41" ht="15.75" customHeight="1" x14ac:dyDescent="0.6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4"/>
      <c r="AL912" s="33"/>
      <c r="AM912" s="33"/>
      <c r="AN912" s="33"/>
      <c r="AO912" s="33"/>
    </row>
    <row r="913" spans="1:41" ht="15.75" customHeight="1" x14ac:dyDescent="0.6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4"/>
      <c r="AL913" s="33"/>
      <c r="AM913" s="33"/>
      <c r="AN913" s="33"/>
      <c r="AO913" s="33"/>
    </row>
    <row r="914" spans="1:41" ht="15.75" customHeight="1" x14ac:dyDescent="0.6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4"/>
      <c r="AL914" s="33"/>
      <c r="AM914" s="33"/>
      <c r="AN914" s="33"/>
      <c r="AO914" s="33"/>
    </row>
    <row r="915" spans="1:41" ht="15.75" customHeight="1" x14ac:dyDescent="0.6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4"/>
      <c r="AL915" s="33"/>
      <c r="AM915" s="33"/>
      <c r="AN915" s="33"/>
      <c r="AO915" s="33"/>
    </row>
    <row r="916" spans="1:41" ht="15.75" customHeight="1" x14ac:dyDescent="0.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4"/>
      <c r="AL916" s="33"/>
      <c r="AM916" s="33"/>
      <c r="AN916" s="33"/>
      <c r="AO916" s="33"/>
    </row>
    <row r="917" spans="1:41" ht="15.75" customHeight="1" x14ac:dyDescent="0.6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4"/>
      <c r="AL917" s="33"/>
      <c r="AM917" s="33"/>
      <c r="AN917" s="33"/>
      <c r="AO917" s="33"/>
    </row>
    <row r="918" spans="1:41" ht="15.75" customHeight="1" x14ac:dyDescent="0.6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4"/>
      <c r="AL918" s="33"/>
      <c r="AM918" s="33"/>
      <c r="AN918" s="33"/>
      <c r="AO918" s="33"/>
    </row>
    <row r="919" spans="1:41" ht="15.75" customHeight="1" x14ac:dyDescent="0.6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4"/>
      <c r="AL919" s="33"/>
      <c r="AM919" s="33"/>
      <c r="AN919" s="33"/>
      <c r="AO919" s="33"/>
    </row>
    <row r="920" spans="1:41" ht="15.75" customHeight="1" x14ac:dyDescent="0.6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4"/>
      <c r="AL920" s="33"/>
      <c r="AM920" s="33"/>
      <c r="AN920" s="33"/>
      <c r="AO920" s="33"/>
    </row>
    <row r="921" spans="1:41" ht="15.75" customHeight="1" x14ac:dyDescent="0.6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4"/>
      <c r="AL921" s="33"/>
      <c r="AM921" s="33"/>
      <c r="AN921" s="33"/>
      <c r="AO921" s="33"/>
    </row>
    <row r="922" spans="1:41" ht="15.75" customHeight="1" x14ac:dyDescent="0.6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4"/>
      <c r="AL922" s="33"/>
      <c r="AM922" s="33"/>
      <c r="AN922" s="33"/>
      <c r="AO922" s="33"/>
    </row>
    <row r="923" spans="1:41" ht="15.75" customHeight="1" x14ac:dyDescent="0.6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4"/>
      <c r="AL923" s="33"/>
      <c r="AM923" s="33"/>
      <c r="AN923" s="33"/>
      <c r="AO923" s="33"/>
    </row>
    <row r="924" spans="1:41" ht="15.75" customHeight="1" x14ac:dyDescent="0.6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4"/>
      <c r="AL924" s="33"/>
      <c r="AM924" s="33"/>
      <c r="AN924" s="33"/>
      <c r="AO924" s="33"/>
    </row>
    <row r="925" spans="1:41" ht="15.75" customHeight="1" x14ac:dyDescent="0.6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4"/>
      <c r="AL925" s="33"/>
      <c r="AM925" s="33"/>
      <c r="AN925" s="33"/>
      <c r="AO925" s="33"/>
    </row>
    <row r="926" spans="1:41" ht="15.75" customHeight="1" x14ac:dyDescent="0.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4"/>
      <c r="AL926" s="33"/>
      <c r="AM926" s="33"/>
      <c r="AN926" s="33"/>
      <c r="AO926" s="33"/>
    </row>
    <row r="927" spans="1:41" ht="15.75" customHeight="1" x14ac:dyDescent="0.6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4"/>
      <c r="AL927" s="33"/>
      <c r="AM927" s="33"/>
      <c r="AN927" s="33"/>
      <c r="AO927" s="33"/>
    </row>
    <row r="928" spans="1:41" ht="15.75" customHeight="1" x14ac:dyDescent="0.6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4"/>
      <c r="AL928" s="33"/>
      <c r="AM928" s="33"/>
      <c r="AN928" s="33"/>
      <c r="AO928" s="33"/>
    </row>
    <row r="929" spans="1:41" ht="15.75" customHeight="1" x14ac:dyDescent="0.6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4"/>
      <c r="AL929" s="33"/>
      <c r="AM929" s="33"/>
      <c r="AN929" s="33"/>
      <c r="AO929" s="33"/>
    </row>
    <row r="930" spans="1:41" ht="15.75" customHeight="1" x14ac:dyDescent="0.6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4"/>
      <c r="AL930" s="33"/>
      <c r="AM930" s="33"/>
      <c r="AN930" s="33"/>
      <c r="AO930" s="33"/>
    </row>
    <row r="931" spans="1:41" ht="15.75" customHeight="1" x14ac:dyDescent="0.6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4"/>
      <c r="AL931" s="33"/>
      <c r="AM931" s="33"/>
      <c r="AN931" s="33"/>
      <c r="AO931" s="33"/>
    </row>
    <row r="932" spans="1:41" ht="15.75" customHeight="1" x14ac:dyDescent="0.6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4"/>
      <c r="AL932" s="33"/>
      <c r="AM932" s="33"/>
      <c r="AN932" s="33"/>
      <c r="AO932" s="33"/>
    </row>
  </sheetData>
  <dataValidations count="3">
    <dataValidation type="list" allowBlank="1" showErrorMessage="1" sqref="C2:C135" xr:uid="{00000000-0002-0000-0200-000000000000}">
      <formula1>"Konsumen,Pasar Tradisional,Pasar Modern,Pasar Flamboyan,Pasar Kemuning"</formula1>
    </dataValidation>
    <dataValidation type="list" allowBlank="1" showErrorMessage="1" sqref="A2:A135" xr:uid="{00000000-0002-0000-0200-000001000000}">
      <formula1>"SP2KP,Panel Harga,PIHPS,Disbunnak"</formula1>
    </dataValidation>
    <dataValidation type="list" allowBlank="1" showErrorMessage="1" sqref="D2:D135" xr:uid="{00000000-0002-0000-0200-000002000000}">
      <formula1>"Provinsi,Sambas,Mempawah,Sanggau,Ketapang,Sintang,Kapuas Hulu,Bengkayang,Landak,Sekadau,Melawi,Kayong Utara,Kubu Raya,Pontianak,Singkawang,Kota Pontianak,Kota Singkawang"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11C7-548F-4FCD-9DF3-826503EC5C08}">
  <dimension ref="C1:E18"/>
  <sheetViews>
    <sheetView tabSelected="1" workbookViewId="0">
      <selection activeCell="C3" sqref="C3"/>
    </sheetView>
  </sheetViews>
  <sheetFormatPr defaultRowHeight="13" x14ac:dyDescent="0.6"/>
  <cols>
    <col min="3" max="3" width="23.1796875" bestFit="1" customWidth="1"/>
    <col min="4" max="4" width="14.7265625" bestFit="1" customWidth="1"/>
  </cols>
  <sheetData>
    <row r="1" spans="3:5" x14ac:dyDescent="0.6">
      <c r="C1" t="s">
        <v>72</v>
      </c>
      <c r="D1" t="s">
        <v>73</v>
      </c>
      <c r="E1" t="str" cm="1">
        <f t="array" ref="E1:E17">_xlfn.UNIQUE('jan26'!D2:D135)</f>
        <v>Provinsi</v>
      </c>
    </row>
    <row r="2" spans="3:5" x14ac:dyDescent="0.6">
      <c r="C2" t="str" cm="1">
        <f t="array" ref="C2:C18">_xlfn.UNIQUE('jan26'!B2:B135)</f>
        <v>Daging Sapi Paha Belakang</v>
      </c>
      <c r="D2" t="str" cm="1">
        <f t="array" ref="D2:D6">_xlfn.UNIQUE('jan26'!C2:C135)</f>
        <v>Konsumen</v>
      </c>
      <c r="E2" t="str">
        <v>Sambas</v>
      </c>
    </row>
    <row r="3" spans="3:5" x14ac:dyDescent="0.6">
      <c r="C3" t="str">
        <v>Daging Ayam Ras</v>
      </c>
      <c r="D3" t="str">
        <v>Pasar Tradisional</v>
      </c>
      <c r="E3" t="str">
        <v>Mempawah</v>
      </c>
    </row>
    <row r="4" spans="3:5" x14ac:dyDescent="0.6">
      <c r="C4" t="str">
        <v>Telur Ayam Ras</v>
      </c>
      <c r="D4" t="str">
        <v>Pasar Modern</v>
      </c>
      <c r="E4" t="str">
        <v>Sanggau</v>
      </c>
    </row>
    <row r="5" spans="3:5" x14ac:dyDescent="0.6">
      <c r="C5" t="str">
        <v>Daging Sapi</v>
      </c>
      <c r="D5" t="str">
        <v>Pasar Flamboyan</v>
      </c>
      <c r="E5" t="str">
        <v>Ketapang</v>
      </c>
    </row>
    <row r="6" spans="3:5" x14ac:dyDescent="0.6">
      <c r="C6" t="str">
        <v>Jagung Tk Peternak</v>
      </c>
      <c r="D6" t="str">
        <v>Pasar Kemuning</v>
      </c>
      <c r="E6" t="str">
        <v>Sintang</v>
      </c>
    </row>
    <row r="7" spans="3:5" x14ac:dyDescent="0.6">
      <c r="C7" t="str">
        <v>Daging Ayam Ras Segar</v>
      </c>
      <c r="E7" t="str">
        <v>Kapuas Hulu</v>
      </c>
    </row>
    <row r="8" spans="3:5" x14ac:dyDescent="0.6">
      <c r="C8" t="str">
        <v>Daging Sapi Kuailitas I</v>
      </c>
      <c r="E8" t="str">
        <v>Bengkayang</v>
      </c>
    </row>
    <row r="9" spans="3:5" x14ac:dyDescent="0.6">
      <c r="C9" t="str">
        <v>Daging Sapi Kuailitas II</v>
      </c>
      <c r="E9" t="str">
        <v>Landak</v>
      </c>
    </row>
    <row r="10" spans="3:5" x14ac:dyDescent="0.6">
      <c r="C10" t="str">
        <v>Telur Ayam Ras Segar</v>
      </c>
      <c r="E10" t="str">
        <v>Sekadau</v>
      </c>
    </row>
    <row r="11" spans="3:5" x14ac:dyDescent="0.6">
      <c r="C11" t="str">
        <v>Daging Ayam Ras Karkas</v>
      </c>
      <c r="E11" t="str">
        <v>Melawi</v>
      </c>
    </row>
    <row r="12" spans="3:5" x14ac:dyDescent="0.6">
      <c r="C12" t="str">
        <v>Daging Ayam Buras</v>
      </c>
      <c r="E12" t="str">
        <v>Kayong Utara</v>
      </c>
    </row>
    <row r="13" spans="3:5" x14ac:dyDescent="0.6">
      <c r="C13" t="str">
        <v>Daging Babi</v>
      </c>
      <c r="E13" t="str">
        <v>Kubu Raya</v>
      </c>
    </row>
    <row r="14" spans="3:5" x14ac:dyDescent="0.6">
      <c r="C14" t="str">
        <v>Telur Ayam (butir) tertinggi</v>
      </c>
      <c r="E14" t="str">
        <v>Pontianak</v>
      </c>
    </row>
    <row r="15" spans="3:5" x14ac:dyDescent="0.6">
      <c r="C15" t="str">
        <v>Telur Ayam (butir) terendah</v>
      </c>
      <c r="E15" t="str">
        <v>Singkawang</v>
      </c>
    </row>
    <row r="16" spans="3:5" x14ac:dyDescent="0.6">
      <c r="C16" t="str">
        <v>Telur Ayam (kg)</v>
      </c>
      <c r="E16" t="str">
        <v>Kota Pontianak</v>
      </c>
    </row>
    <row r="17" spans="3:5" x14ac:dyDescent="0.6">
      <c r="C17" t="str">
        <v>Telur Ayam Buras (butir)</v>
      </c>
      <c r="E17" t="str">
        <v>Kota Singkawang</v>
      </c>
    </row>
    <row r="18" spans="3:5" x14ac:dyDescent="0.6">
      <c r="C18" t="str">
        <v>Telur Bebek (butir)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O932"/>
  <sheetViews>
    <sheetView workbookViewId="0">
      <pane xSplit="4" ySplit="1" topLeftCell="X2" activePane="bottomRight" state="frozen"/>
      <selection pane="topRight" activeCell="E1" sqref="E1"/>
      <selection pane="bottomLeft" activeCell="A2" sqref="A2"/>
      <selection pane="bottomRight" activeCell="AH2" sqref="AH2"/>
    </sheetView>
  </sheetViews>
  <sheetFormatPr defaultColWidth="12.6328125" defaultRowHeight="15" customHeight="1" x14ac:dyDescent="0.6"/>
  <cols>
    <col min="1" max="1" width="14.7265625" customWidth="1"/>
    <col min="2" max="2" width="21.86328125" customWidth="1"/>
    <col min="3" max="3" width="13.7265625" customWidth="1"/>
    <col min="4" max="4" width="17.6328125" customWidth="1"/>
    <col min="5" max="41" width="8.7265625" customWidth="1"/>
  </cols>
  <sheetData>
    <row r="1" spans="1:41" ht="15.75" customHeight="1" x14ac:dyDescent="0.6">
      <c r="A1" s="8" t="s">
        <v>25</v>
      </c>
      <c r="B1" s="8" t="s">
        <v>26</v>
      </c>
      <c r="C1" s="8" t="s">
        <v>27</v>
      </c>
      <c r="D1" s="8" t="s">
        <v>28</v>
      </c>
      <c r="E1" s="9">
        <v>46054</v>
      </c>
      <c r="F1" s="9">
        <v>46055</v>
      </c>
      <c r="G1" s="9">
        <v>46056</v>
      </c>
      <c r="H1" s="9">
        <v>46057</v>
      </c>
      <c r="I1" s="9">
        <v>46058</v>
      </c>
      <c r="J1" s="9">
        <v>46059</v>
      </c>
      <c r="K1" s="9">
        <v>46060</v>
      </c>
      <c r="L1" s="9">
        <v>46061</v>
      </c>
      <c r="M1" s="9">
        <v>46062</v>
      </c>
      <c r="N1" s="9">
        <v>46063</v>
      </c>
      <c r="O1" s="9">
        <v>46064</v>
      </c>
      <c r="P1" s="9">
        <v>46065</v>
      </c>
      <c r="Q1" s="9">
        <v>46066</v>
      </c>
      <c r="R1" s="9">
        <v>46067</v>
      </c>
      <c r="S1" s="9">
        <v>46068</v>
      </c>
      <c r="T1" s="9">
        <v>46069</v>
      </c>
      <c r="U1" s="9">
        <v>46070</v>
      </c>
      <c r="V1" s="9">
        <v>46071</v>
      </c>
      <c r="W1" s="9">
        <v>46072</v>
      </c>
      <c r="X1" s="9">
        <v>46073</v>
      </c>
      <c r="Y1" s="9">
        <v>46074</v>
      </c>
      <c r="Z1" s="9">
        <v>46075</v>
      </c>
      <c r="AA1" s="9">
        <v>46076</v>
      </c>
      <c r="AB1" s="9">
        <v>46077</v>
      </c>
      <c r="AC1" s="9">
        <v>46078</v>
      </c>
      <c r="AD1" s="9">
        <v>46079</v>
      </c>
      <c r="AE1" s="9">
        <v>46080</v>
      </c>
      <c r="AF1" s="9">
        <v>46081</v>
      </c>
      <c r="AG1" s="9"/>
      <c r="AH1" s="9"/>
      <c r="AI1" s="9"/>
      <c r="AJ1" s="9"/>
      <c r="AK1" s="2" t="s">
        <v>29</v>
      </c>
      <c r="AL1" s="9"/>
      <c r="AM1" s="9"/>
      <c r="AN1" s="9"/>
      <c r="AO1" s="9"/>
    </row>
    <row r="2" spans="1:41" ht="15.75" customHeight="1" x14ac:dyDescent="0.6">
      <c r="A2" s="10" t="s">
        <v>30</v>
      </c>
      <c r="B2" s="10" t="s">
        <v>31</v>
      </c>
      <c r="C2" s="10" t="s">
        <v>32</v>
      </c>
      <c r="D2" s="10" t="s">
        <v>33</v>
      </c>
      <c r="E2" s="10"/>
      <c r="F2" s="10">
        <v>154000</v>
      </c>
      <c r="G2" s="10">
        <v>154000</v>
      </c>
      <c r="H2" s="10">
        <v>154000</v>
      </c>
      <c r="I2" s="10">
        <v>154000</v>
      </c>
      <c r="J2" s="10">
        <v>156000</v>
      </c>
      <c r="K2" s="10"/>
      <c r="L2" s="10"/>
      <c r="M2" s="10">
        <v>156000</v>
      </c>
      <c r="N2" s="10">
        <v>156000</v>
      </c>
      <c r="O2" s="10">
        <v>156000</v>
      </c>
      <c r="P2" s="10">
        <v>156000</v>
      </c>
      <c r="Q2" s="10">
        <v>156000</v>
      </c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1">
        <f>AVERAGE(E2:AI2)</f>
        <v>155200</v>
      </c>
      <c r="AL2" s="10"/>
      <c r="AM2" s="10"/>
      <c r="AN2" s="10"/>
      <c r="AO2" s="10"/>
    </row>
    <row r="3" spans="1:41" ht="15.75" customHeight="1" x14ac:dyDescent="0.6">
      <c r="A3" s="10" t="s">
        <v>30</v>
      </c>
      <c r="B3" s="10" t="s">
        <v>31</v>
      </c>
      <c r="C3" s="10" t="s">
        <v>32</v>
      </c>
      <c r="D3" s="10" t="s">
        <v>34</v>
      </c>
      <c r="E3" s="10"/>
      <c r="F3" s="10">
        <v>160000</v>
      </c>
      <c r="G3" s="10">
        <v>160000</v>
      </c>
      <c r="H3" s="10">
        <v>160000</v>
      </c>
      <c r="I3" s="10">
        <v>160000</v>
      </c>
      <c r="J3" s="10">
        <v>160000</v>
      </c>
      <c r="K3" s="10"/>
      <c r="L3" s="10"/>
      <c r="M3" s="10">
        <v>160000</v>
      </c>
      <c r="N3" s="10">
        <v>160000</v>
      </c>
      <c r="O3" s="10">
        <v>160000</v>
      </c>
      <c r="P3" s="10">
        <v>160000</v>
      </c>
      <c r="Q3" s="10">
        <v>160000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1"/>
      <c r="AL3" s="10"/>
      <c r="AM3" s="10"/>
      <c r="AN3" s="10"/>
      <c r="AO3" s="10"/>
    </row>
    <row r="4" spans="1:41" ht="15.75" customHeight="1" x14ac:dyDescent="0.6">
      <c r="A4" s="10" t="s">
        <v>30</v>
      </c>
      <c r="B4" s="10" t="s">
        <v>31</v>
      </c>
      <c r="C4" s="10" t="s">
        <v>32</v>
      </c>
      <c r="D4" s="10" t="s">
        <v>35</v>
      </c>
      <c r="E4" s="10"/>
      <c r="F4" s="10">
        <v>140000</v>
      </c>
      <c r="G4" s="10">
        <v>140000</v>
      </c>
      <c r="H4" s="10">
        <v>140000</v>
      </c>
      <c r="I4" s="10">
        <v>140000</v>
      </c>
      <c r="J4" s="10">
        <v>140000</v>
      </c>
      <c r="K4" s="10"/>
      <c r="L4" s="10"/>
      <c r="M4" s="10">
        <v>140000</v>
      </c>
      <c r="N4" s="10">
        <v>140000</v>
      </c>
      <c r="O4" s="10">
        <v>140000</v>
      </c>
      <c r="P4" s="10">
        <v>140000</v>
      </c>
      <c r="Q4" s="10">
        <v>140000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1"/>
      <c r="AL4" s="10"/>
      <c r="AM4" s="10"/>
      <c r="AN4" s="10"/>
      <c r="AO4" s="10"/>
    </row>
    <row r="5" spans="1:41" ht="15.75" customHeight="1" x14ac:dyDescent="0.6">
      <c r="A5" s="10" t="s">
        <v>30</v>
      </c>
      <c r="B5" s="10" t="s">
        <v>31</v>
      </c>
      <c r="C5" s="10" t="s">
        <v>32</v>
      </c>
      <c r="D5" s="10" t="s">
        <v>36</v>
      </c>
      <c r="E5" s="10"/>
      <c r="F5" s="10">
        <v>150000</v>
      </c>
      <c r="G5" s="10">
        <v>150000</v>
      </c>
      <c r="H5" s="10">
        <v>150000</v>
      </c>
      <c r="I5" s="10">
        <v>150000</v>
      </c>
      <c r="J5" s="10">
        <v>150000</v>
      </c>
      <c r="K5" s="10"/>
      <c r="L5" s="10"/>
      <c r="M5" s="10">
        <v>150000</v>
      </c>
      <c r="N5" s="10">
        <v>150000</v>
      </c>
      <c r="O5" s="10">
        <v>150000</v>
      </c>
      <c r="P5" s="10">
        <v>150000</v>
      </c>
      <c r="Q5" s="10">
        <v>150000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1"/>
      <c r="AL5" s="10"/>
      <c r="AM5" s="10"/>
      <c r="AN5" s="10"/>
      <c r="AO5" s="10"/>
    </row>
    <row r="6" spans="1:41" ht="15.75" customHeight="1" x14ac:dyDescent="0.6">
      <c r="A6" s="10" t="s">
        <v>30</v>
      </c>
      <c r="B6" s="10" t="s">
        <v>31</v>
      </c>
      <c r="C6" s="10" t="s">
        <v>32</v>
      </c>
      <c r="D6" s="10" t="s">
        <v>37</v>
      </c>
      <c r="E6" s="10"/>
      <c r="F6" s="10">
        <v>150000</v>
      </c>
      <c r="G6" s="10">
        <v>150000</v>
      </c>
      <c r="H6" s="10">
        <v>150000</v>
      </c>
      <c r="I6" s="10">
        <v>150000</v>
      </c>
      <c r="J6" s="10">
        <v>150000</v>
      </c>
      <c r="K6" s="10"/>
      <c r="L6" s="10"/>
      <c r="M6" s="10">
        <v>150000</v>
      </c>
      <c r="N6" s="10">
        <v>150000</v>
      </c>
      <c r="O6" s="10">
        <v>150000</v>
      </c>
      <c r="P6" s="10">
        <v>150000</v>
      </c>
      <c r="Q6" s="10">
        <v>150000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1"/>
      <c r="AL6" s="10"/>
      <c r="AM6" s="10"/>
      <c r="AN6" s="10"/>
      <c r="AO6" s="10"/>
    </row>
    <row r="7" spans="1:41" ht="15.75" customHeight="1" x14ac:dyDescent="0.6">
      <c r="A7" s="10" t="s">
        <v>30</v>
      </c>
      <c r="B7" s="10" t="s">
        <v>31</v>
      </c>
      <c r="C7" s="10" t="s">
        <v>32</v>
      </c>
      <c r="D7" s="10" t="s">
        <v>38</v>
      </c>
      <c r="E7" s="10"/>
      <c r="F7" s="10">
        <v>150000</v>
      </c>
      <c r="G7" s="10">
        <v>150000</v>
      </c>
      <c r="H7" s="10">
        <v>150000</v>
      </c>
      <c r="I7" s="10">
        <v>150000</v>
      </c>
      <c r="J7" s="10">
        <v>150000</v>
      </c>
      <c r="K7" s="10"/>
      <c r="L7" s="10"/>
      <c r="M7" s="10">
        <v>150000</v>
      </c>
      <c r="N7" s="10">
        <v>150000</v>
      </c>
      <c r="O7" s="10">
        <v>150000</v>
      </c>
      <c r="P7" s="10">
        <v>150000</v>
      </c>
      <c r="Q7" s="10">
        <v>150000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1"/>
      <c r="AL7" s="10"/>
      <c r="AM7" s="10"/>
      <c r="AN7" s="10"/>
      <c r="AO7" s="10"/>
    </row>
    <row r="8" spans="1:41" ht="15.75" customHeight="1" x14ac:dyDescent="0.6">
      <c r="A8" s="10" t="s">
        <v>30</v>
      </c>
      <c r="B8" s="10" t="s">
        <v>31</v>
      </c>
      <c r="C8" s="10" t="s">
        <v>32</v>
      </c>
      <c r="D8" s="10" t="s">
        <v>39</v>
      </c>
      <c r="E8" s="10"/>
      <c r="F8" s="10">
        <v>180000</v>
      </c>
      <c r="G8" s="10">
        <v>180000</v>
      </c>
      <c r="H8" s="10">
        <v>180000</v>
      </c>
      <c r="I8" s="10">
        <v>180000</v>
      </c>
      <c r="J8" s="10">
        <v>180000</v>
      </c>
      <c r="K8" s="10"/>
      <c r="L8" s="10"/>
      <c r="M8" s="10">
        <v>180000</v>
      </c>
      <c r="N8" s="10">
        <v>180000</v>
      </c>
      <c r="O8" s="10">
        <v>180000</v>
      </c>
      <c r="P8" s="10">
        <v>180000</v>
      </c>
      <c r="Q8" s="10">
        <v>180000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1"/>
      <c r="AL8" s="10"/>
      <c r="AM8" s="10"/>
      <c r="AN8" s="10"/>
      <c r="AO8" s="10"/>
    </row>
    <row r="9" spans="1:41" ht="15.75" customHeight="1" x14ac:dyDescent="0.6">
      <c r="A9" s="10" t="s">
        <v>30</v>
      </c>
      <c r="B9" s="10" t="s">
        <v>31</v>
      </c>
      <c r="C9" s="10" t="s">
        <v>32</v>
      </c>
      <c r="D9" s="10" t="s">
        <v>40</v>
      </c>
      <c r="E9" s="10"/>
      <c r="F9" s="10">
        <v>160000</v>
      </c>
      <c r="G9" s="10">
        <v>160000</v>
      </c>
      <c r="H9" s="10">
        <v>160000</v>
      </c>
      <c r="I9" s="10">
        <v>160000</v>
      </c>
      <c r="J9" s="10">
        <v>160000</v>
      </c>
      <c r="K9" s="10"/>
      <c r="L9" s="10"/>
      <c r="M9" s="10">
        <v>160000</v>
      </c>
      <c r="N9" s="10">
        <v>160000</v>
      </c>
      <c r="O9" s="10">
        <v>160000</v>
      </c>
      <c r="P9" s="10">
        <v>160000</v>
      </c>
      <c r="Q9" s="10">
        <v>160000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1"/>
      <c r="AL9" s="10"/>
      <c r="AM9" s="10"/>
      <c r="AN9" s="10"/>
      <c r="AO9" s="10"/>
    </row>
    <row r="10" spans="1:41" ht="15.75" customHeight="1" x14ac:dyDescent="0.6">
      <c r="A10" s="10" t="s">
        <v>30</v>
      </c>
      <c r="B10" s="10" t="s">
        <v>31</v>
      </c>
      <c r="C10" s="10" t="s">
        <v>32</v>
      </c>
      <c r="D10" s="10" t="s">
        <v>41</v>
      </c>
      <c r="E10" s="10"/>
      <c r="F10" s="10">
        <v>160000</v>
      </c>
      <c r="G10" s="10">
        <v>160000</v>
      </c>
      <c r="H10" s="10">
        <v>160000</v>
      </c>
      <c r="I10" s="10">
        <v>160000</v>
      </c>
      <c r="J10" s="10">
        <v>160000</v>
      </c>
      <c r="K10" s="10"/>
      <c r="L10" s="10"/>
      <c r="M10" s="10">
        <v>160000</v>
      </c>
      <c r="N10" s="10">
        <v>160000</v>
      </c>
      <c r="O10" s="10">
        <v>160000</v>
      </c>
      <c r="P10" s="10">
        <v>160000</v>
      </c>
      <c r="Q10" s="10">
        <v>160000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1"/>
      <c r="AL10" s="10"/>
      <c r="AM10" s="10"/>
      <c r="AN10" s="10"/>
      <c r="AO10" s="10"/>
    </row>
    <row r="11" spans="1:41" ht="15.75" customHeight="1" x14ac:dyDescent="0.6">
      <c r="A11" s="10" t="s">
        <v>30</v>
      </c>
      <c r="B11" s="10" t="s">
        <v>31</v>
      </c>
      <c r="C11" s="10" t="s">
        <v>32</v>
      </c>
      <c r="D11" s="10" t="s">
        <v>42</v>
      </c>
      <c r="E11" s="10"/>
      <c r="F11" s="10">
        <v>160000</v>
      </c>
      <c r="G11" s="10">
        <v>160000</v>
      </c>
      <c r="H11" s="10">
        <v>160000</v>
      </c>
      <c r="I11" s="10">
        <v>160000</v>
      </c>
      <c r="J11" s="10">
        <v>160000</v>
      </c>
      <c r="K11" s="10"/>
      <c r="L11" s="10"/>
      <c r="M11" s="10">
        <v>160000</v>
      </c>
      <c r="N11" s="10">
        <v>160000</v>
      </c>
      <c r="O11" s="10">
        <v>160000</v>
      </c>
      <c r="P11" s="10">
        <v>160000</v>
      </c>
      <c r="Q11" s="10">
        <v>160000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/>
      <c r="AL11" s="10"/>
      <c r="AM11" s="10"/>
      <c r="AN11" s="10"/>
      <c r="AO11" s="10"/>
    </row>
    <row r="12" spans="1:41" ht="15.75" customHeight="1" x14ac:dyDescent="0.6">
      <c r="A12" s="10" t="s">
        <v>30</v>
      </c>
      <c r="B12" s="10" t="s">
        <v>31</v>
      </c>
      <c r="C12" s="10" t="s">
        <v>32</v>
      </c>
      <c r="D12" s="10" t="s">
        <v>43</v>
      </c>
      <c r="E12" s="10"/>
      <c r="F12" s="10">
        <v>170000</v>
      </c>
      <c r="G12" s="10">
        <v>170000</v>
      </c>
      <c r="H12" s="10">
        <v>170000</v>
      </c>
      <c r="I12" s="10">
        <v>170000</v>
      </c>
      <c r="J12" s="10">
        <v>170000</v>
      </c>
      <c r="K12" s="10"/>
      <c r="L12" s="10"/>
      <c r="M12" s="10">
        <v>170000</v>
      </c>
      <c r="N12" s="10">
        <v>170000</v>
      </c>
      <c r="O12" s="10">
        <v>170000</v>
      </c>
      <c r="P12" s="10">
        <v>170000</v>
      </c>
      <c r="Q12" s="10">
        <v>170000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1"/>
      <c r="AL12" s="10"/>
      <c r="AM12" s="10"/>
      <c r="AN12" s="10"/>
      <c r="AO12" s="10"/>
    </row>
    <row r="13" spans="1:41" ht="15.75" customHeight="1" x14ac:dyDescent="0.6">
      <c r="A13" s="10" t="s">
        <v>30</v>
      </c>
      <c r="B13" s="10" t="s">
        <v>31</v>
      </c>
      <c r="C13" s="10" t="s">
        <v>32</v>
      </c>
      <c r="D13" s="10" t="s">
        <v>44</v>
      </c>
      <c r="E13" s="10"/>
      <c r="F13" s="10">
        <v>160000</v>
      </c>
      <c r="G13" s="10">
        <v>160000</v>
      </c>
      <c r="H13" s="10">
        <v>160000</v>
      </c>
      <c r="I13" s="10">
        <v>160000</v>
      </c>
      <c r="J13" s="10">
        <v>160000</v>
      </c>
      <c r="K13" s="10"/>
      <c r="L13" s="10"/>
      <c r="M13" s="10">
        <v>160000</v>
      </c>
      <c r="N13" s="10">
        <v>160000</v>
      </c>
      <c r="O13" s="10">
        <v>160000</v>
      </c>
      <c r="P13" s="10">
        <v>160000</v>
      </c>
      <c r="Q13" s="10">
        <v>160000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1"/>
      <c r="AL13" s="10"/>
      <c r="AM13" s="10"/>
      <c r="AN13" s="10"/>
      <c r="AO13" s="10"/>
    </row>
    <row r="14" spans="1:41" ht="15.75" customHeight="1" x14ac:dyDescent="0.6">
      <c r="A14" s="10" t="s">
        <v>30</v>
      </c>
      <c r="B14" s="10" t="s">
        <v>31</v>
      </c>
      <c r="C14" s="10" t="s">
        <v>32</v>
      </c>
      <c r="D14" s="10" t="s">
        <v>45</v>
      </c>
      <c r="E14" s="10"/>
      <c r="F14" s="10">
        <v>150000</v>
      </c>
      <c r="G14" s="10">
        <v>150000</v>
      </c>
      <c r="H14" s="10">
        <v>150000</v>
      </c>
      <c r="I14" s="10">
        <v>150000</v>
      </c>
      <c r="J14" s="10">
        <v>150000</v>
      </c>
      <c r="K14" s="10"/>
      <c r="L14" s="10"/>
      <c r="M14" s="10">
        <v>150000</v>
      </c>
      <c r="N14" s="10">
        <v>150000</v>
      </c>
      <c r="O14" s="10">
        <v>150000</v>
      </c>
      <c r="P14" s="10">
        <v>150000</v>
      </c>
      <c r="Q14" s="10">
        <v>150000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1"/>
      <c r="AL14" s="10"/>
      <c r="AM14" s="10"/>
      <c r="AN14" s="10"/>
      <c r="AO14" s="10"/>
    </row>
    <row r="15" spans="1:41" ht="15.75" customHeight="1" x14ac:dyDescent="0.6">
      <c r="A15" s="10" t="s">
        <v>30</v>
      </c>
      <c r="B15" s="10" t="s">
        <v>31</v>
      </c>
      <c r="C15" s="10" t="s">
        <v>32</v>
      </c>
      <c r="D15" s="10" t="s">
        <v>46</v>
      </c>
      <c r="E15" s="10"/>
      <c r="F15" s="10">
        <v>150000</v>
      </c>
      <c r="G15" s="10">
        <v>150000</v>
      </c>
      <c r="H15" s="10">
        <v>150000</v>
      </c>
      <c r="I15" s="10">
        <v>150000</v>
      </c>
      <c r="J15" s="10">
        <v>150000</v>
      </c>
      <c r="K15" s="10"/>
      <c r="L15" s="10"/>
      <c r="M15" s="10">
        <v>160000</v>
      </c>
      <c r="N15" s="10">
        <v>160000</v>
      </c>
      <c r="O15" s="10">
        <v>160000</v>
      </c>
      <c r="P15" s="10">
        <v>160000</v>
      </c>
      <c r="Q15" s="10">
        <v>160000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1"/>
      <c r="AL15" s="10"/>
      <c r="AM15" s="10"/>
      <c r="AN15" s="10"/>
      <c r="AO15" s="10"/>
    </row>
    <row r="16" spans="1:41" ht="15.75" customHeight="1" x14ac:dyDescent="0.6">
      <c r="A16" s="10" t="s">
        <v>30</v>
      </c>
      <c r="B16" s="10" t="s">
        <v>31</v>
      </c>
      <c r="C16" s="10" t="s">
        <v>32</v>
      </c>
      <c r="D16" s="10" t="s">
        <v>47</v>
      </c>
      <c r="E16" s="10"/>
      <c r="F16" s="10">
        <v>160000</v>
      </c>
      <c r="G16" s="10">
        <v>160000</v>
      </c>
      <c r="H16" s="10">
        <v>160000</v>
      </c>
      <c r="I16" s="10">
        <v>160000</v>
      </c>
      <c r="J16" s="10">
        <v>160000</v>
      </c>
      <c r="K16" s="10"/>
      <c r="L16" s="10"/>
      <c r="M16" s="10">
        <v>160000</v>
      </c>
      <c r="N16" s="10">
        <v>160000</v>
      </c>
      <c r="O16" s="10">
        <v>160000</v>
      </c>
      <c r="P16" s="10">
        <v>160000</v>
      </c>
      <c r="Q16" s="10">
        <v>160000</v>
      </c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1"/>
      <c r="AL16" s="10"/>
      <c r="AM16" s="10"/>
      <c r="AN16" s="10"/>
      <c r="AO16" s="10"/>
    </row>
    <row r="17" spans="1:41" ht="13" x14ac:dyDescent="0.6">
      <c r="A17" s="12" t="s">
        <v>30</v>
      </c>
      <c r="B17" s="12" t="s">
        <v>48</v>
      </c>
      <c r="C17" s="12" t="s">
        <v>32</v>
      </c>
      <c r="D17" s="12" t="s">
        <v>33</v>
      </c>
      <c r="E17" s="12"/>
      <c r="F17" s="12">
        <v>47367</v>
      </c>
      <c r="G17" s="12">
        <v>48567</v>
      </c>
      <c r="H17" s="12">
        <v>48833</v>
      </c>
      <c r="I17" s="12">
        <v>49333</v>
      </c>
      <c r="J17" s="12">
        <v>49333</v>
      </c>
      <c r="K17" s="12"/>
      <c r="L17" s="12"/>
      <c r="M17" s="12">
        <v>48533</v>
      </c>
      <c r="N17" s="12">
        <v>48533</v>
      </c>
      <c r="O17" s="12">
        <v>49667</v>
      </c>
      <c r="P17" s="12">
        <v>49667</v>
      </c>
      <c r="Q17" s="12">
        <v>49667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1">
        <f>AVERAGE(E17:AI17)</f>
        <v>48950</v>
      </c>
      <c r="AL17" s="12"/>
      <c r="AM17" s="12"/>
      <c r="AN17" s="12"/>
      <c r="AO17" s="12"/>
    </row>
    <row r="18" spans="1:41" ht="15.75" customHeight="1" x14ac:dyDescent="0.6">
      <c r="A18" s="12" t="s">
        <v>30</v>
      </c>
      <c r="B18" s="12" t="s">
        <v>48</v>
      </c>
      <c r="C18" s="12" t="s">
        <v>32</v>
      </c>
      <c r="D18" s="12" t="s">
        <v>34</v>
      </c>
      <c r="E18" s="12"/>
      <c r="F18" s="12">
        <v>52000</v>
      </c>
      <c r="G18" s="12">
        <v>52000</v>
      </c>
      <c r="H18" s="12">
        <v>54000</v>
      </c>
      <c r="I18" s="12">
        <v>54000</v>
      </c>
      <c r="J18" s="12">
        <v>54000</v>
      </c>
      <c r="K18" s="12"/>
      <c r="L18" s="12"/>
      <c r="M18" s="12">
        <v>50000</v>
      </c>
      <c r="N18" s="12">
        <v>50000</v>
      </c>
      <c r="O18" s="12">
        <v>50000</v>
      </c>
      <c r="P18" s="12">
        <v>50000</v>
      </c>
      <c r="Q18" s="12">
        <v>48000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3"/>
      <c r="AL18" s="12"/>
      <c r="AM18" s="12"/>
      <c r="AN18" s="12"/>
      <c r="AO18" s="12"/>
    </row>
    <row r="19" spans="1:41" ht="15.75" customHeight="1" x14ac:dyDescent="0.6">
      <c r="A19" s="12" t="s">
        <v>30</v>
      </c>
      <c r="B19" s="12" t="s">
        <v>48</v>
      </c>
      <c r="C19" s="12" t="s">
        <v>32</v>
      </c>
      <c r="D19" s="12" t="s">
        <v>35</v>
      </c>
      <c r="E19" s="12"/>
      <c r="F19" s="12">
        <v>42000</v>
      </c>
      <c r="G19" s="12">
        <v>42000</v>
      </c>
      <c r="H19" s="12">
        <v>42000</v>
      </c>
      <c r="I19" s="12">
        <v>42000</v>
      </c>
      <c r="J19" s="12">
        <v>45000</v>
      </c>
      <c r="K19" s="12"/>
      <c r="L19" s="12"/>
      <c r="M19" s="12">
        <v>44000</v>
      </c>
      <c r="N19" s="12">
        <v>44000</v>
      </c>
      <c r="O19" s="12">
        <v>44000</v>
      </c>
      <c r="P19" s="12">
        <v>43000</v>
      </c>
      <c r="Q19" s="12">
        <v>43000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3"/>
      <c r="AL19" s="12"/>
      <c r="AM19" s="12"/>
      <c r="AN19" s="12"/>
      <c r="AO19" s="12"/>
    </row>
    <row r="20" spans="1:41" ht="15.75" customHeight="1" x14ac:dyDescent="0.6">
      <c r="A20" s="12" t="s">
        <v>30</v>
      </c>
      <c r="B20" s="12" t="s">
        <v>48</v>
      </c>
      <c r="C20" s="12" t="s">
        <v>32</v>
      </c>
      <c r="D20" s="12" t="s">
        <v>36</v>
      </c>
      <c r="E20" s="12"/>
      <c r="F20" s="12">
        <v>45000</v>
      </c>
      <c r="G20" s="12">
        <v>45000</v>
      </c>
      <c r="H20" s="12">
        <v>45000</v>
      </c>
      <c r="I20" s="12">
        <v>45000</v>
      </c>
      <c r="J20" s="12">
        <v>45000</v>
      </c>
      <c r="K20" s="12"/>
      <c r="L20" s="12"/>
      <c r="M20" s="12">
        <v>44667</v>
      </c>
      <c r="N20" s="12">
        <v>44667</v>
      </c>
      <c r="O20" s="12">
        <v>45667</v>
      </c>
      <c r="P20" s="12">
        <v>45667</v>
      </c>
      <c r="Q20" s="12">
        <v>46333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3"/>
      <c r="AL20" s="12"/>
      <c r="AM20" s="12"/>
      <c r="AN20" s="12"/>
      <c r="AO20" s="12"/>
    </row>
    <row r="21" spans="1:41" ht="15.75" customHeight="1" x14ac:dyDescent="0.6">
      <c r="A21" s="12" t="s">
        <v>30</v>
      </c>
      <c r="B21" s="12" t="s">
        <v>48</v>
      </c>
      <c r="C21" s="12" t="s">
        <v>32</v>
      </c>
      <c r="D21" s="12" t="s">
        <v>37</v>
      </c>
      <c r="E21" s="12"/>
      <c r="F21" s="12">
        <v>47500</v>
      </c>
      <c r="G21" s="12">
        <v>47500</v>
      </c>
      <c r="H21" s="12">
        <v>47500</v>
      </c>
      <c r="I21" s="12">
        <v>50000</v>
      </c>
      <c r="J21" s="12">
        <v>50000</v>
      </c>
      <c r="K21" s="12"/>
      <c r="L21" s="12"/>
      <c r="M21" s="12">
        <v>48000</v>
      </c>
      <c r="N21" s="12">
        <v>48000</v>
      </c>
      <c r="O21" s="12">
        <v>48000</v>
      </c>
      <c r="P21" s="12">
        <v>48000</v>
      </c>
      <c r="Q21" s="12">
        <v>48000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3"/>
      <c r="AL21" s="12"/>
      <c r="AM21" s="12"/>
      <c r="AN21" s="12"/>
      <c r="AO21" s="12"/>
    </row>
    <row r="22" spans="1:41" ht="15.75" customHeight="1" x14ac:dyDescent="0.6">
      <c r="A22" s="12" t="s">
        <v>30</v>
      </c>
      <c r="B22" s="12" t="s">
        <v>48</v>
      </c>
      <c r="C22" s="12" t="s">
        <v>32</v>
      </c>
      <c r="D22" s="12" t="s">
        <v>38</v>
      </c>
      <c r="E22" s="12"/>
      <c r="F22" s="12">
        <v>47000</v>
      </c>
      <c r="G22" s="12">
        <v>48000</v>
      </c>
      <c r="H22" s="12">
        <v>48000</v>
      </c>
      <c r="I22" s="12">
        <v>48000</v>
      </c>
      <c r="J22" s="12">
        <v>48000</v>
      </c>
      <c r="K22" s="12"/>
      <c r="L22" s="12"/>
      <c r="M22" s="12">
        <v>47000</v>
      </c>
      <c r="N22" s="12">
        <v>47000</v>
      </c>
      <c r="O22" s="12">
        <v>47000</v>
      </c>
      <c r="P22" s="12">
        <v>47000</v>
      </c>
      <c r="Q22" s="12">
        <v>48000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3"/>
      <c r="AL22" s="12"/>
      <c r="AM22" s="12"/>
      <c r="AN22" s="12"/>
      <c r="AO22" s="12"/>
    </row>
    <row r="23" spans="1:41" ht="15.75" customHeight="1" x14ac:dyDescent="0.6">
      <c r="A23" s="12" t="s">
        <v>30</v>
      </c>
      <c r="B23" s="12" t="s">
        <v>48</v>
      </c>
      <c r="C23" s="12" t="s">
        <v>32</v>
      </c>
      <c r="D23" s="12" t="s">
        <v>39</v>
      </c>
      <c r="E23" s="12"/>
      <c r="F23" s="12">
        <v>45000</v>
      </c>
      <c r="G23" s="12">
        <v>45000</v>
      </c>
      <c r="H23" s="12">
        <v>45000</v>
      </c>
      <c r="I23" s="12">
        <v>45000</v>
      </c>
      <c r="J23" s="12">
        <v>45000</v>
      </c>
      <c r="K23" s="12"/>
      <c r="L23" s="12"/>
      <c r="M23" s="12">
        <v>45000</v>
      </c>
      <c r="N23" s="12">
        <v>45000</v>
      </c>
      <c r="O23" s="12">
        <v>45000</v>
      </c>
      <c r="P23" s="12">
        <v>50000</v>
      </c>
      <c r="Q23" s="12">
        <v>5000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3"/>
      <c r="AL23" s="12"/>
      <c r="AM23" s="12"/>
      <c r="AN23" s="12"/>
      <c r="AO23" s="12"/>
    </row>
    <row r="24" spans="1:41" ht="15.75" customHeight="1" x14ac:dyDescent="0.6">
      <c r="A24" s="12" t="s">
        <v>30</v>
      </c>
      <c r="B24" s="12" t="s">
        <v>48</v>
      </c>
      <c r="C24" s="12" t="s">
        <v>32</v>
      </c>
      <c r="D24" s="12" t="s">
        <v>40</v>
      </c>
      <c r="E24" s="12"/>
      <c r="F24" s="12">
        <v>48333</v>
      </c>
      <c r="G24" s="12">
        <v>50000</v>
      </c>
      <c r="H24" s="12">
        <v>50000</v>
      </c>
      <c r="I24" s="12">
        <v>50000</v>
      </c>
      <c r="J24" s="12">
        <v>50000</v>
      </c>
      <c r="K24" s="12"/>
      <c r="L24" s="12"/>
      <c r="M24" s="12">
        <v>55000</v>
      </c>
      <c r="N24" s="12">
        <v>55000</v>
      </c>
      <c r="O24" s="12">
        <v>55000</v>
      </c>
      <c r="P24" s="12">
        <v>55000</v>
      </c>
      <c r="Q24" s="12">
        <v>55000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3"/>
      <c r="AL24" s="12"/>
      <c r="AM24" s="12"/>
      <c r="AN24" s="12"/>
      <c r="AO24" s="12"/>
    </row>
    <row r="25" spans="1:41" ht="15.75" customHeight="1" x14ac:dyDescent="0.6">
      <c r="A25" s="12" t="s">
        <v>30</v>
      </c>
      <c r="B25" s="12" t="s">
        <v>48</v>
      </c>
      <c r="C25" s="12" t="s">
        <v>32</v>
      </c>
      <c r="D25" s="12" t="s">
        <v>41</v>
      </c>
      <c r="E25" s="12"/>
      <c r="F25" s="12">
        <v>48000</v>
      </c>
      <c r="G25" s="12">
        <v>48000</v>
      </c>
      <c r="H25" s="12">
        <v>50000</v>
      </c>
      <c r="I25" s="12">
        <v>50000</v>
      </c>
      <c r="J25" s="12">
        <v>50000</v>
      </c>
      <c r="K25" s="12"/>
      <c r="L25" s="12"/>
      <c r="M25" s="12">
        <v>50000</v>
      </c>
      <c r="N25" s="12">
        <v>50000</v>
      </c>
      <c r="O25" s="12">
        <v>50000</v>
      </c>
      <c r="P25" s="12">
        <v>50000</v>
      </c>
      <c r="Q25" s="12">
        <v>50000</v>
      </c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3"/>
      <c r="AL25" s="12"/>
      <c r="AM25" s="12"/>
      <c r="AN25" s="12"/>
      <c r="AO25" s="12"/>
    </row>
    <row r="26" spans="1:41" ht="15.75" customHeight="1" x14ac:dyDescent="0.6">
      <c r="A26" s="12" t="s">
        <v>30</v>
      </c>
      <c r="B26" s="12" t="s">
        <v>48</v>
      </c>
      <c r="C26" s="12" t="s">
        <v>32</v>
      </c>
      <c r="D26" s="12" t="s">
        <v>42</v>
      </c>
      <c r="E26" s="12"/>
      <c r="F26" s="12">
        <v>46000</v>
      </c>
      <c r="G26" s="12">
        <v>46000</v>
      </c>
      <c r="H26" s="12">
        <v>50000</v>
      </c>
      <c r="I26" s="12">
        <v>50000</v>
      </c>
      <c r="J26" s="12">
        <v>50000</v>
      </c>
      <c r="K26" s="12"/>
      <c r="L26" s="12"/>
      <c r="M26" s="12">
        <v>50000</v>
      </c>
      <c r="N26" s="12">
        <v>50000</v>
      </c>
      <c r="O26" s="12">
        <v>50000</v>
      </c>
      <c r="P26" s="12">
        <v>50000</v>
      </c>
      <c r="Q26" s="12">
        <v>50000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3"/>
      <c r="AL26" s="12"/>
      <c r="AM26" s="12"/>
      <c r="AN26" s="12"/>
      <c r="AO26" s="12"/>
    </row>
    <row r="27" spans="1:41" ht="15.75" customHeight="1" x14ac:dyDescent="0.6">
      <c r="A27" s="12" t="s">
        <v>30</v>
      </c>
      <c r="B27" s="12" t="s">
        <v>48</v>
      </c>
      <c r="C27" s="12" t="s">
        <v>32</v>
      </c>
      <c r="D27" s="12" t="s">
        <v>43</v>
      </c>
      <c r="E27" s="12"/>
      <c r="F27" s="12">
        <v>40000</v>
      </c>
      <c r="G27" s="12">
        <v>40000</v>
      </c>
      <c r="H27" s="12">
        <v>40000</v>
      </c>
      <c r="I27" s="12">
        <v>45000</v>
      </c>
      <c r="J27" s="12">
        <v>45000</v>
      </c>
      <c r="K27" s="12"/>
      <c r="L27" s="12"/>
      <c r="M27" s="12">
        <v>45000</v>
      </c>
      <c r="N27" s="12">
        <v>45000</v>
      </c>
      <c r="O27" s="12">
        <v>45000</v>
      </c>
      <c r="P27" s="12">
        <v>49333</v>
      </c>
      <c r="Q27" s="12">
        <v>49333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3"/>
      <c r="AL27" s="12"/>
      <c r="AM27" s="12"/>
      <c r="AN27" s="12"/>
      <c r="AO27" s="12"/>
    </row>
    <row r="28" spans="1:41" ht="15.75" customHeight="1" x14ac:dyDescent="0.6">
      <c r="A28" s="12" t="s">
        <v>30</v>
      </c>
      <c r="B28" s="12" t="s">
        <v>48</v>
      </c>
      <c r="C28" s="12" t="s">
        <v>32</v>
      </c>
      <c r="D28" s="12" t="s">
        <v>44</v>
      </c>
      <c r="E28" s="12"/>
      <c r="F28" s="12">
        <v>50000</v>
      </c>
      <c r="G28" s="12">
        <v>50000</v>
      </c>
      <c r="H28" s="12">
        <v>50000</v>
      </c>
      <c r="I28" s="12">
        <v>50000</v>
      </c>
      <c r="J28" s="12">
        <v>50000</v>
      </c>
      <c r="K28" s="12"/>
      <c r="L28" s="12"/>
      <c r="M28" s="12">
        <v>50000</v>
      </c>
      <c r="N28" s="12">
        <v>50000</v>
      </c>
      <c r="O28" s="12">
        <v>50000</v>
      </c>
      <c r="P28" s="12">
        <v>55000</v>
      </c>
      <c r="Q28" s="12">
        <v>55000</v>
      </c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3"/>
      <c r="AL28" s="12"/>
      <c r="AM28" s="12"/>
      <c r="AN28" s="12"/>
      <c r="AO28" s="12"/>
    </row>
    <row r="29" spans="1:41" ht="15.75" customHeight="1" x14ac:dyDescent="0.6">
      <c r="A29" s="12" t="s">
        <v>30</v>
      </c>
      <c r="B29" s="12" t="s">
        <v>48</v>
      </c>
      <c r="C29" s="12" t="s">
        <v>32</v>
      </c>
      <c r="D29" s="12" t="s">
        <v>45</v>
      </c>
      <c r="E29" s="12"/>
      <c r="F29" s="12">
        <v>43000</v>
      </c>
      <c r="G29" s="12">
        <v>45000</v>
      </c>
      <c r="H29" s="12">
        <v>45000</v>
      </c>
      <c r="I29" s="12">
        <v>45000</v>
      </c>
      <c r="J29" s="12">
        <v>45000</v>
      </c>
      <c r="K29" s="12"/>
      <c r="L29" s="12"/>
      <c r="M29" s="12">
        <v>45000</v>
      </c>
      <c r="N29" s="12">
        <v>45000</v>
      </c>
      <c r="O29" s="12">
        <v>43000</v>
      </c>
      <c r="P29" s="12">
        <v>43000</v>
      </c>
      <c r="Q29" s="12">
        <v>43000</v>
      </c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3"/>
      <c r="AL29" s="12"/>
      <c r="AM29" s="12"/>
      <c r="AN29" s="12"/>
      <c r="AO29" s="12"/>
    </row>
    <row r="30" spans="1:41" ht="15.75" customHeight="1" x14ac:dyDescent="0.6">
      <c r="A30" s="12" t="s">
        <v>30</v>
      </c>
      <c r="B30" s="12" t="s">
        <v>48</v>
      </c>
      <c r="C30" s="12" t="s">
        <v>32</v>
      </c>
      <c r="D30" s="12" t="s">
        <v>46</v>
      </c>
      <c r="E30" s="12"/>
      <c r="F30" s="12">
        <v>47333</v>
      </c>
      <c r="G30" s="12">
        <v>47333</v>
      </c>
      <c r="H30" s="12">
        <v>48667</v>
      </c>
      <c r="I30" s="12">
        <v>48667</v>
      </c>
      <c r="J30" s="12">
        <v>48667</v>
      </c>
      <c r="K30" s="12"/>
      <c r="L30" s="12"/>
      <c r="M30" s="12">
        <v>47667</v>
      </c>
      <c r="N30" s="12">
        <v>47667</v>
      </c>
      <c r="O30" s="12">
        <v>48333</v>
      </c>
      <c r="P30" s="12">
        <v>48333</v>
      </c>
      <c r="Q30" s="12">
        <v>47333</v>
      </c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3"/>
      <c r="AL30" s="12"/>
      <c r="AM30" s="12"/>
      <c r="AN30" s="12"/>
      <c r="AO30" s="12"/>
    </row>
    <row r="31" spans="1:41" ht="15.75" customHeight="1" x14ac:dyDescent="0.6">
      <c r="A31" s="12" t="s">
        <v>30</v>
      </c>
      <c r="B31" s="12" t="s">
        <v>48</v>
      </c>
      <c r="C31" s="12" t="s">
        <v>32</v>
      </c>
      <c r="D31" s="12" t="s">
        <v>47</v>
      </c>
      <c r="E31" s="12"/>
      <c r="F31" s="12">
        <v>45000</v>
      </c>
      <c r="G31" s="12">
        <v>50000</v>
      </c>
      <c r="H31" s="12">
        <v>50000</v>
      </c>
      <c r="I31" s="12">
        <v>50000</v>
      </c>
      <c r="J31" s="12">
        <v>50000</v>
      </c>
      <c r="K31" s="12"/>
      <c r="L31" s="12"/>
      <c r="M31" s="12">
        <v>50000</v>
      </c>
      <c r="N31" s="12">
        <v>50000</v>
      </c>
      <c r="O31" s="12">
        <v>50000</v>
      </c>
      <c r="P31" s="12">
        <v>50000</v>
      </c>
      <c r="Q31" s="12">
        <v>50000</v>
      </c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3"/>
      <c r="AL31" s="12"/>
      <c r="AM31" s="12"/>
      <c r="AN31" s="12"/>
      <c r="AO31" s="12"/>
    </row>
    <row r="32" spans="1:41" ht="15.75" customHeight="1" x14ac:dyDescent="0.6">
      <c r="A32" s="14" t="s">
        <v>30</v>
      </c>
      <c r="B32" s="14" t="s">
        <v>49</v>
      </c>
      <c r="C32" s="14" t="s">
        <v>32</v>
      </c>
      <c r="D32" s="14" t="s">
        <v>33</v>
      </c>
      <c r="E32" s="14"/>
      <c r="F32" s="14">
        <v>35507</v>
      </c>
      <c r="G32" s="14">
        <v>35373</v>
      </c>
      <c r="H32" s="14">
        <v>35207</v>
      </c>
      <c r="I32" s="14">
        <v>35207</v>
      </c>
      <c r="J32" s="14">
        <v>35240</v>
      </c>
      <c r="K32" s="14"/>
      <c r="L32" s="14"/>
      <c r="M32" s="14">
        <v>34600</v>
      </c>
      <c r="N32" s="14">
        <v>34667</v>
      </c>
      <c r="O32" s="14">
        <v>35000</v>
      </c>
      <c r="P32" s="14">
        <v>35000</v>
      </c>
      <c r="Q32" s="14">
        <v>35000</v>
      </c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1">
        <f>AVERAGE(E32:AI32)</f>
        <v>35080.1</v>
      </c>
      <c r="AL32" s="14"/>
      <c r="AM32" s="14"/>
      <c r="AN32" s="14"/>
      <c r="AO32" s="14"/>
    </row>
    <row r="33" spans="1:41" ht="15.75" customHeight="1" x14ac:dyDescent="0.6">
      <c r="A33" s="14" t="s">
        <v>30</v>
      </c>
      <c r="B33" s="14" t="s">
        <v>49</v>
      </c>
      <c r="C33" s="14" t="s">
        <v>32</v>
      </c>
      <c r="D33" s="14" t="s">
        <v>34</v>
      </c>
      <c r="E33" s="14"/>
      <c r="F33" s="14">
        <v>30000</v>
      </c>
      <c r="G33" s="14">
        <v>30000</v>
      </c>
      <c r="H33" s="14">
        <v>30000</v>
      </c>
      <c r="I33" s="14">
        <v>30000</v>
      </c>
      <c r="J33" s="14">
        <v>29000</v>
      </c>
      <c r="K33" s="14"/>
      <c r="L33" s="14"/>
      <c r="M33" s="14">
        <v>31000</v>
      </c>
      <c r="N33" s="14">
        <v>31000</v>
      </c>
      <c r="O33" s="14">
        <v>31000</v>
      </c>
      <c r="P33" s="14">
        <v>31000</v>
      </c>
      <c r="Q33" s="14">
        <v>31000</v>
      </c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5"/>
      <c r="AL33" s="14"/>
      <c r="AM33" s="14"/>
      <c r="AN33" s="14"/>
      <c r="AO33" s="14"/>
    </row>
    <row r="34" spans="1:41" ht="15.75" customHeight="1" x14ac:dyDescent="0.6">
      <c r="A34" s="14" t="s">
        <v>30</v>
      </c>
      <c r="B34" s="14" t="s">
        <v>49</v>
      </c>
      <c r="C34" s="14" t="s">
        <v>32</v>
      </c>
      <c r="D34" s="14" t="s">
        <v>35</v>
      </c>
      <c r="E34" s="14"/>
      <c r="F34" s="14">
        <v>31000</v>
      </c>
      <c r="G34" s="14">
        <v>31000</v>
      </c>
      <c r="H34" s="14">
        <v>31000</v>
      </c>
      <c r="I34" s="14">
        <v>29000</v>
      </c>
      <c r="J34" s="14">
        <v>29000</v>
      </c>
      <c r="K34" s="14"/>
      <c r="L34" s="14"/>
      <c r="M34" s="14">
        <v>29000</v>
      </c>
      <c r="N34" s="14">
        <v>29000</v>
      </c>
      <c r="O34" s="14">
        <v>29000</v>
      </c>
      <c r="P34" s="14">
        <v>30000</v>
      </c>
      <c r="Q34" s="14">
        <v>30000</v>
      </c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5"/>
      <c r="AL34" s="14"/>
      <c r="AM34" s="14"/>
      <c r="AN34" s="14"/>
      <c r="AO34" s="14"/>
    </row>
    <row r="35" spans="1:41" ht="15.75" customHeight="1" x14ac:dyDescent="0.6">
      <c r="A35" s="14" t="s">
        <v>30</v>
      </c>
      <c r="B35" s="14" t="s">
        <v>49</v>
      </c>
      <c r="C35" s="14" t="s">
        <v>32</v>
      </c>
      <c r="D35" s="14" t="s">
        <v>36</v>
      </c>
      <c r="E35" s="14"/>
      <c r="F35" s="14">
        <v>32000</v>
      </c>
      <c r="G35" s="14">
        <v>32000</v>
      </c>
      <c r="H35" s="14">
        <v>32000</v>
      </c>
      <c r="I35" s="14">
        <v>32000</v>
      </c>
      <c r="J35" s="14">
        <v>32000</v>
      </c>
      <c r="K35" s="14"/>
      <c r="L35" s="14"/>
      <c r="M35" s="14">
        <v>32000</v>
      </c>
      <c r="N35" s="14">
        <v>32000</v>
      </c>
      <c r="O35" s="14">
        <v>32000</v>
      </c>
      <c r="P35" s="14">
        <v>32000</v>
      </c>
      <c r="Q35" s="14">
        <v>32000</v>
      </c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5"/>
      <c r="AL35" s="14"/>
      <c r="AM35" s="14"/>
      <c r="AN35" s="14"/>
      <c r="AO35" s="14"/>
    </row>
    <row r="36" spans="1:41" ht="15.75" customHeight="1" x14ac:dyDescent="0.6">
      <c r="A36" s="14" t="s">
        <v>30</v>
      </c>
      <c r="B36" s="14" t="s">
        <v>49</v>
      </c>
      <c r="C36" s="14" t="s">
        <v>32</v>
      </c>
      <c r="D36" s="14" t="s">
        <v>37</v>
      </c>
      <c r="E36" s="14"/>
      <c r="F36" s="14">
        <v>40000</v>
      </c>
      <c r="G36" s="14">
        <v>40000</v>
      </c>
      <c r="H36" s="14">
        <v>40000</v>
      </c>
      <c r="I36" s="14">
        <v>40000</v>
      </c>
      <c r="J36" s="14">
        <v>40000</v>
      </c>
      <c r="K36" s="14"/>
      <c r="L36" s="14"/>
      <c r="M36" s="14">
        <v>40000</v>
      </c>
      <c r="N36" s="14">
        <v>40000</v>
      </c>
      <c r="O36" s="14">
        <v>40000</v>
      </c>
      <c r="P36" s="14">
        <v>40000</v>
      </c>
      <c r="Q36" s="14">
        <v>40000</v>
      </c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5"/>
      <c r="AL36" s="14"/>
      <c r="AM36" s="14"/>
      <c r="AN36" s="14"/>
      <c r="AO36" s="14"/>
    </row>
    <row r="37" spans="1:41" ht="15.75" customHeight="1" x14ac:dyDescent="0.6">
      <c r="A37" s="14" t="s">
        <v>30</v>
      </c>
      <c r="B37" s="14" t="s">
        <v>49</v>
      </c>
      <c r="C37" s="14" t="s">
        <v>32</v>
      </c>
      <c r="D37" s="14" t="s">
        <v>38</v>
      </c>
      <c r="E37" s="14"/>
      <c r="F37" s="14">
        <v>35200</v>
      </c>
      <c r="G37" s="14">
        <v>35200</v>
      </c>
      <c r="H37" s="14">
        <v>35200</v>
      </c>
      <c r="I37" s="14">
        <v>35200</v>
      </c>
      <c r="J37" s="14">
        <v>35200</v>
      </c>
      <c r="K37" s="14"/>
      <c r="L37" s="14"/>
      <c r="M37" s="14">
        <v>32000</v>
      </c>
      <c r="N37" s="14">
        <v>32000</v>
      </c>
      <c r="O37" s="14">
        <v>32000</v>
      </c>
      <c r="P37" s="14">
        <v>32000</v>
      </c>
      <c r="Q37" s="14">
        <v>32000</v>
      </c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5"/>
      <c r="AL37" s="14"/>
      <c r="AM37" s="14"/>
      <c r="AN37" s="14"/>
      <c r="AO37" s="14"/>
    </row>
    <row r="38" spans="1:41" ht="15.75" customHeight="1" x14ac:dyDescent="0.6">
      <c r="A38" s="14" t="s">
        <v>30</v>
      </c>
      <c r="B38" s="14" t="s">
        <v>49</v>
      </c>
      <c r="C38" s="14" t="s">
        <v>32</v>
      </c>
      <c r="D38" s="14" t="s">
        <v>39</v>
      </c>
      <c r="E38" s="14"/>
      <c r="F38" s="14">
        <v>36800</v>
      </c>
      <c r="G38" s="14">
        <v>36800</v>
      </c>
      <c r="H38" s="14">
        <v>36800</v>
      </c>
      <c r="I38" s="14">
        <v>32000</v>
      </c>
      <c r="J38" s="14">
        <v>32000</v>
      </c>
      <c r="K38" s="14"/>
      <c r="L38" s="14"/>
      <c r="M38" s="14">
        <v>32000</v>
      </c>
      <c r="N38" s="14">
        <v>32000</v>
      </c>
      <c r="O38" s="14">
        <v>32000</v>
      </c>
      <c r="P38" s="14">
        <v>32000</v>
      </c>
      <c r="Q38" s="14">
        <v>32000</v>
      </c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5"/>
      <c r="AL38" s="14"/>
      <c r="AM38" s="14"/>
      <c r="AN38" s="14"/>
      <c r="AO38" s="14"/>
    </row>
    <row r="39" spans="1:41" ht="15.75" customHeight="1" x14ac:dyDescent="0.6">
      <c r="A39" s="14" t="s">
        <v>30</v>
      </c>
      <c r="B39" s="14" t="s">
        <v>49</v>
      </c>
      <c r="C39" s="14" t="s">
        <v>32</v>
      </c>
      <c r="D39" s="14" t="s">
        <v>40</v>
      </c>
      <c r="E39" s="14"/>
      <c r="F39" s="14">
        <v>32000</v>
      </c>
      <c r="G39" s="14">
        <v>32000</v>
      </c>
      <c r="H39" s="14">
        <v>32000</v>
      </c>
      <c r="I39" s="14">
        <v>32000</v>
      </c>
      <c r="J39" s="14">
        <v>32000</v>
      </c>
      <c r="K39" s="14"/>
      <c r="L39" s="14"/>
      <c r="M39" s="14">
        <v>32000</v>
      </c>
      <c r="N39" s="14">
        <v>32000</v>
      </c>
      <c r="O39" s="14">
        <v>32000</v>
      </c>
      <c r="P39" s="14">
        <v>32000</v>
      </c>
      <c r="Q39" s="14">
        <v>32000</v>
      </c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5"/>
      <c r="AL39" s="14"/>
      <c r="AM39" s="14"/>
      <c r="AN39" s="14"/>
      <c r="AO39" s="14"/>
    </row>
    <row r="40" spans="1:41" ht="15.75" customHeight="1" x14ac:dyDescent="0.6">
      <c r="A40" s="14" t="s">
        <v>30</v>
      </c>
      <c r="B40" s="14" t="s">
        <v>49</v>
      </c>
      <c r="C40" s="14" t="s">
        <v>32</v>
      </c>
      <c r="D40" s="14" t="s">
        <v>41</v>
      </c>
      <c r="E40" s="14"/>
      <c r="F40" s="14">
        <v>34000</v>
      </c>
      <c r="G40" s="14">
        <v>34000</v>
      </c>
      <c r="H40" s="14">
        <v>34000</v>
      </c>
      <c r="I40" s="14">
        <v>34000</v>
      </c>
      <c r="J40" s="14">
        <v>34000</v>
      </c>
      <c r="K40" s="14"/>
      <c r="L40" s="14"/>
      <c r="M40" s="14">
        <v>34000</v>
      </c>
      <c r="N40" s="14">
        <v>34000</v>
      </c>
      <c r="O40" s="14">
        <v>34000</v>
      </c>
      <c r="P40" s="14">
        <v>34000</v>
      </c>
      <c r="Q40" s="14">
        <v>34000</v>
      </c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5"/>
      <c r="AL40" s="14"/>
      <c r="AM40" s="14"/>
      <c r="AN40" s="14"/>
      <c r="AO40" s="14"/>
    </row>
    <row r="41" spans="1:41" ht="15.75" customHeight="1" x14ac:dyDescent="0.6">
      <c r="A41" s="14" t="s">
        <v>30</v>
      </c>
      <c r="B41" s="14" t="s">
        <v>49</v>
      </c>
      <c r="C41" s="14" t="s">
        <v>32</v>
      </c>
      <c r="D41" s="14" t="s">
        <v>42</v>
      </c>
      <c r="E41" s="14"/>
      <c r="F41" s="14">
        <v>35000</v>
      </c>
      <c r="G41" s="14">
        <v>35000</v>
      </c>
      <c r="H41" s="14">
        <v>35000</v>
      </c>
      <c r="I41" s="14">
        <v>35000</v>
      </c>
      <c r="J41" s="14">
        <v>35000</v>
      </c>
      <c r="K41" s="14"/>
      <c r="L41" s="14"/>
      <c r="M41" s="14">
        <v>35000</v>
      </c>
      <c r="N41" s="14">
        <v>35000</v>
      </c>
      <c r="O41" s="14">
        <v>35000</v>
      </c>
      <c r="P41" s="14">
        <v>35000</v>
      </c>
      <c r="Q41" s="14">
        <v>35000</v>
      </c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5"/>
      <c r="AL41" s="14"/>
      <c r="AM41" s="14"/>
      <c r="AN41" s="14"/>
      <c r="AO41" s="14"/>
    </row>
    <row r="42" spans="1:41" ht="15.75" customHeight="1" x14ac:dyDescent="0.6">
      <c r="A42" s="14" t="s">
        <v>30</v>
      </c>
      <c r="B42" s="14" t="s">
        <v>49</v>
      </c>
      <c r="C42" s="14" t="s">
        <v>32</v>
      </c>
      <c r="D42" s="14" t="s">
        <v>43</v>
      </c>
      <c r="E42" s="14"/>
      <c r="F42" s="14">
        <v>36800</v>
      </c>
      <c r="G42" s="14">
        <v>36800</v>
      </c>
      <c r="H42" s="14">
        <v>36800</v>
      </c>
      <c r="I42" s="14">
        <v>32000</v>
      </c>
      <c r="J42" s="14">
        <v>32000</v>
      </c>
      <c r="K42" s="14"/>
      <c r="L42" s="14"/>
      <c r="M42" s="14">
        <v>35200</v>
      </c>
      <c r="N42" s="14">
        <v>35200</v>
      </c>
      <c r="O42" s="14">
        <v>35200</v>
      </c>
      <c r="P42" s="14">
        <v>35200</v>
      </c>
      <c r="Q42" s="14">
        <v>35200</v>
      </c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5"/>
      <c r="AL42" s="14"/>
      <c r="AM42" s="14"/>
      <c r="AN42" s="14"/>
      <c r="AO42" s="14"/>
    </row>
    <row r="43" spans="1:41" ht="15.75" customHeight="1" x14ac:dyDescent="0.6">
      <c r="A43" s="14" t="s">
        <v>30</v>
      </c>
      <c r="B43" s="14" t="s">
        <v>49</v>
      </c>
      <c r="C43" s="14" t="s">
        <v>32</v>
      </c>
      <c r="D43" s="14" t="s">
        <v>44</v>
      </c>
      <c r="E43" s="14"/>
      <c r="F43" s="14">
        <v>40000</v>
      </c>
      <c r="G43" s="14">
        <v>40000</v>
      </c>
      <c r="H43" s="14">
        <v>40000</v>
      </c>
      <c r="I43" s="14">
        <v>40000</v>
      </c>
      <c r="J43" s="14">
        <v>40000</v>
      </c>
      <c r="K43" s="14"/>
      <c r="L43" s="14"/>
      <c r="M43" s="14">
        <v>40000</v>
      </c>
      <c r="N43" s="14">
        <v>40000</v>
      </c>
      <c r="O43" s="14">
        <v>40000</v>
      </c>
      <c r="P43" s="14">
        <v>40000</v>
      </c>
      <c r="Q43" s="14">
        <v>40000</v>
      </c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5"/>
      <c r="AL43" s="14"/>
      <c r="AM43" s="14"/>
      <c r="AN43" s="14"/>
      <c r="AO43" s="14"/>
    </row>
    <row r="44" spans="1:41" ht="15.75" customHeight="1" x14ac:dyDescent="0.6">
      <c r="A44" s="14" t="s">
        <v>30</v>
      </c>
      <c r="B44" s="14" t="s">
        <v>49</v>
      </c>
      <c r="C44" s="14" t="s">
        <v>32</v>
      </c>
      <c r="D44" s="14" t="s">
        <v>45</v>
      </c>
      <c r="E44" s="14"/>
      <c r="F44" s="14">
        <v>30000</v>
      </c>
      <c r="G44" s="14">
        <v>30000</v>
      </c>
      <c r="H44" s="14">
        <v>30000</v>
      </c>
      <c r="I44" s="14">
        <v>30000</v>
      </c>
      <c r="J44" s="14">
        <v>30000</v>
      </c>
      <c r="K44" s="14"/>
      <c r="L44" s="14"/>
      <c r="M44" s="14">
        <v>30000</v>
      </c>
      <c r="N44" s="14">
        <v>30000</v>
      </c>
      <c r="O44" s="14">
        <v>30000</v>
      </c>
      <c r="P44" s="14">
        <v>30000</v>
      </c>
      <c r="Q44" s="14">
        <v>30000</v>
      </c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5"/>
      <c r="AL44" s="14"/>
      <c r="AM44" s="14"/>
      <c r="AN44" s="14"/>
      <c r="AO44" s="14"/>
    </row>
    <row r="45" spans="1:41" ht="15.75" customHeight="1" x14ac:dyDescent="0.6">
      <c r="A45" s="14" t="s">
        <v>30</v>
      </c>
      <c r="B45" s="14" t="s">
        <v>49</v>
      </c>
      <c r="C45" s="14" t="s">
        <v>32</v>
      </c>
      <c r="D45" s="14" t="s">
        <v>46</v>
      </c>
      <c r="E45" s="14"/>
      <c r="F45" s="14">
        <v>31333</v>
      </c>
      <c r="G45" s="14">
        <v>31667</v>
      </c>
      <c r="H45" s="14">
        <v>30833</v>
      </c>
      <c r="I45" s="14">
        <v>30833</v>
      </c>
      <c r="J45" s="14">
        <v>31000</v>
      </c>
      <c r="K45" s="14"/>
      <c r="L45" s="14"/>
      <c r="M45" s="14">
        <v>31000</v>
      </c>
      <c r="N45" s="14">
        <v>31000</v>
      </c>
      <c r="O45" s="14">
        <v>32000</v>
      </c>
      <c r="P45" s="14">
        <v>32000</v>
      </c>
      <c r="Q45" s="14">
        <v>32000</v>
      </c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5"/>
      <c r="AL45" s="14"/>
      <c r="AM45" s="14"/>
      <c r="AN45" s="14"/>
      <c r="AO45" s="14"/>
    </row>
    <row r="46" spans="1:41" ht="15.75" customHeight="1" x14ac:dyDescent="0.6">
      <c r="A46" s="14" t="s">
        <v>30</v>
      </c>
      <c r="B46" s="14" t="s">
        <v>49</v>
      </c>
      <c r="C46" s="14" t="s">
        <v>32</v>
      </c>
      <c r="D46" s="14" t="s">
        <v>47</v>
      </c>
      <c r="E46" s="14"/>
      <c r="F46" s="14">
        <v>31000</v>
      </c>
      <c r="G46" s="14">
        <v>30000</v>
      </c>
      <c r="H46" s="14">
        <v>30000</v>
      </c>
      <c r="I46" s="14">
        <v>30000</v>
      </c>
      <c r="J46" s="14">
        <v>30000</v>
      </c>
      <c r="K46" s="14"/>
      <c r="L46" s="14"/>
      <c r="M46" s="14">
        <v>30000</v>
      </c>
      <c r="N46" s="14">
        <v>30000</v>
      </c>
      <c r="O46" s="14">
        <v>31000</v>
      </c>
      <c r="P46" s="14">
        <v>31000</v>
      </c>
      <c r="Q46" s="14">
        <v>31000</v>
      </c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5"/>
      <c r="AL46" s="14"/>
      <c r="AM46" s="14"/>
      <c r="AN46" s="14"/>
      <c r="AO46" s="14"/>
    </row>
    <row r="47" spans="1:41" ht="15.75" customHeight="1" x14ac:dyDescent="0.6">
      <c r="A47" s="16" t="s">
        <v>50</v>
      </c>
      <c r="B47" s="16" t="s">
        <v>3</v>
      </c>
      <c r="C47" s="16" t="s">
        <v>32</v>
      </c>
      <c r="D47" s="16" t="s">
        <v>33</v>
      </c>
      <c r="E47" s="16">
        <v>155455</v>
      </c>
      <c r="F47" s="16">
        <v>156000</v>
      </c>
      <c r="G47" s="16">
        <v>155333</v>
      </c>
      <c r="H47" s="16">
        <v>157241</v>
      </c>
      <c r="I47" s="16">
        <v>156364</v>
      </c>
      <c r="J47" s="16">
        <v>156563</v>
      </c>
      <c r="K47" s="16">
        <v>156667</v>
      </c>
      <c r="L47" s="16">
        <v>155806</v>
      </c>
      <c r="M47" s="16">
        <v>157188</v>
      </c>
      <c r="N47" s="16">
        <v>157059</v>
      </c>
      <c r="O47" s="16">
        <v>158281</v>
      </c>
      <c r="P47" s="16">
        <v>158971</v>
      </c>
      <c r="Q47" s="16">
        <v>155355</v>
      </c>
      <c r="R47" s="16">
        <v>159500</v>
      </c>
      <c r="S47" s="16">
        <v>161333</v>
      </c>
      <c r="T47" s="16">
        <v>163030</v>
      </c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7">
        <f>AVERAGE(E47:AJ47)</f>
        <v>157509.125</v>
      </c>
      <c r="AL47" s="16"/>
      <c r="AM47" s="16"/>
      <c r="AN47" s="16"/>
      <c r="AO47" s="16"/>
    </row>
    <row r="48" spans="1:41" ht="15.75" customHeight="1" x14ac:dyDescent="0.6">
      <c r="A48" s="16" t="s">
        <v>50</v>
      </c>
      <c r="B48" s="16" t="s">
        <v>3</v>
      </c>
      <c r="C48" s="16" t="s">
        <v>32</v>
      </c>
      <c r="D48" s="16" t="s">
        <v>40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8"/>
      <c r="AE48" s="16"/>
      <c r="AF48" s="16"/>
      <c r="AG48" s="16"/>
      <c r="AH48" s="16"/>
      <c r="AI48" s="16"/>
      <c r="AJ48" s="16"/>
      <c r="AK48" s="17"/>
      <c r="AL48" s="16"/>
      <c r="AM48" s="16"/>
      <c r="AN48" s="16"/>
      <c r="AO48" s="16"/>
    </row>
    <row r="49" spans="1:41" ht="15.75" customHeight="1" x14ac:dyDescent="0.6">
      <c r="A49" s="16" t="s">
        <v>50</v>
      </c>
      <c r="B49" s="16" t="s">
        <v>3</v>
      </c>
      <c r="C49" s="16" t="s">
        <v>32</v>
      </c>
      <c r="D49" s="16" t="s">
        <v>39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7"/>
      <c r="AL49" s="16"/>
      <c r="AM49" s="16"/>
      <c r="AN49" s="16"/>
      <c r="AO49" s="16"/>
    </row>
    <row r="50" spans="1:41" ht="15.75" customHeight="1" x14ac:dyDescent="0.6">
      <c r="A50" s="16" t="s">
        <v>50</v>
      </c>
      <c r="B50" s="16" t="s">
        <v>3</v>
      </c>
      <c r="C50" s="16" t="s">
        <v>32</v>
      </c>
      <c r="D50" s="16" t="s">
        <v>44</v>
      </c>
      <c r="E50" s="16">
        <v>160000</v>
      </c>
      <c r="F50" s="16"/>
      <c r="G50" s="16">
        <v>160000</v>
      </c>
      <c r="H50" s="16">
        <v>160000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7"/>
      <c r="AL50" s="16"/>
      <c r="AM50" s="16"/>
      <c r="AN50" s="16"/>
      <c r="AO50" s="16"/>
    </row>
    <row r="51" spans="1:41" ht="15.75" customHeight="1" x14ac:dyDescent="0.6">
      <c r="A51" s="16" t="s">
        <v>50</v>
      </c>
      <c r="B51" s="16" t="s">
        <v>3</v>
      </c>
      <c r="C51" s="16" t="s">
        <v>32</v>
      </c>
      <c r="D51" s="16" t="s">
        <v>37</v>
      </c>
      <c r="E51" s="16">
        <v>146000</v>
      </c>
      <c r="F51" s="16">
        <v>150000</v>
      </c>
      <c r="G51" s="16">
        <v>150000</v>
      </c>
      <c r="H51" s="16">
        <v>150000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7"/>
      <c r="AL51" s="16"/>
      <c r="AM51" s="16"/>
      <c r="AN51" s="16"/>
      <c r="AO51" s="16"/>
    </row>
    <row r="52" spans="1:41" ht="15.75" customHeight="1" x14ac:dyDescent="0.6">
      <c r="A52" s="16" t="s">
        <v>50</v>
      </c>
      <c r="B52" s="16" t="s">
        <v>3</v>
      </c>
      <c r="C52" s="16" t="s">
        <v>32</v>
      </c>
      <c r="D52" s="16" t="s">
        <v>45</v>
      </c>
      <c r="E52" s="16">
        <v>160000</v>
      </c>
      <c r="F52" s="16">
        <v>160000</v>
      </c>
      <c r="G52" s="16">
        <v>160000</v>
      </c>
      <c r="H52" s="16">
        <v>160000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7"/>
      <c r="AL52" s="16"/>
      <c r="AM52" s="16"/>
      <c r="AN52" s="16"/>
      <c r="AO52" s="16"/>
    </row>
    <row r="53" spans="1:41" ht="15.75" customHeight="1" x14ac:dyDescent="0.6">
      <c r="A53" s="16" t="s">
        <v>50</v>
      </c>
      <c r="B53" s="16" t="s">
        <v>3</v>
      </c>
      <c r="C53" s="16" t="s">
        <v>32</v>
      </c>
      <c r="D53" s="16" t="s">
        <v>41</v>
      </c>
      <c r="E53" s="16">
        <v>163333</v>
      </c>
      <c r="F53" s="16">
        <v>163333</v>
      </c>
      <c r="G53" s="16">
        <v>163333</v>
      </c>
      <c r="H53" s="16">
        <v>163333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7"/>
      <c r="AL53" s="16"/>
      <c r="AM53" s="16"/>
      <c r="AN53" s="16"/>
      <c r="AO53" s="16"/>
    </row>
    <row r="54" spans="1:41" ht="15.75" customHeight="1" x14ac:dyDescent="0.6">
      <c r="A54" s="16" t="s">
        <v>50</v>
      </c>
      <c r="B54" s="16" t="s">
        <v>3</v>
      </c>
      <c r="C54" s="16" t="s">
        <v>32</v>
      </c>
      <c r="D54" s="16" t="s">
        <v>43</v>
      </c>
      <c r="E54" s="16">
        <v>160000</v>
      </c>
      <c r="F54" s="16">
        <v>160000</v>
      </c>
      <c r="G54" s="16">
        <v>160000</v>
      </c>
      <c r="H54" s="16">
        <v>160000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/>
      <c r="AL54" s="16"/>
      <c r="AM54" s="16"/>
      <c r="AN54" s="16"/>
      <c r="AO54" s="16"/>
    </row>
    <row r="55" spans="1:41" ht="15.75" customHeight="1" x14ac:dyDescent="0.6">
      <c r="A55" s="16" t="s">
        <v>50</v>
      </c>
      <c r="B55" s="16" t="s">
        <v>3</v>
      </c>
      <c r="C55" s="16" t="s">
        <v>32</v>
      </c>
      <c r="D55" s="16" t="s">
        <v>35</v>
      </c>
      <c r="E55" s="16">
        <v>150000</v>
      </c>
      <c r="F55" s="16">
        <v>150000</v>
      </c>
      <c r="G55" s="16">
        <v>150000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7"/>
      <c r="AL55" s="16"/>
      <c r="AM55" s="16"/>
      <c r="AN55" s="16"/>
      <c r="AO55" s="16"/>
    </row>
    <row r="56" spans="1:41" ht="15.75" customHeight="1" x14ac:dyDescent="0.6">
      <c r="A56" s="16" t="s">
        <v>50</v>
      </c>
      <c r="B56" s="16" t="s">
        <v>3</v>
      </c>
      <c r="C56" s="16" t="s">
        <v>32</v>
      </c>
      <c r="D56" s="16" t="s">
        <v>34</v>
      </c>
      <c r="E56" s="16">
        <v>160000</v>
      </c>
      <c r="F56" s="16">
        <v>160000</v>
      </c>
      <c r="G56" s="16">
        <v>160000</v>
      </c>
      <c r="H56" s="16">
        <v>160000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7"/>
      <c r="AL56" s="16"/>
      <c r="AM56" s="16"/>
      <c r="AN56" s="16"/>
      <c r="AO56" s="16"/>
    </row>
    <row r="57" spans="1:41" ht="15.75" customHeight="1" x14ac:dyDescent="0.6">
      <c r="A57" s="16" t="s">
        <v>50</v>
      </c>
      <c r="B57" s="16" t="s">
        <v>3</v>
      </c>
      <c r="C57" s="16" t="s">
        <v>32</v>
      </c>
      <c r="D57" s="16" t="s">
        <v>36</v>
      </c>
      <c r="E57" s="16">
        <v>160000</v>
      </c>
      <c r="F57" s="16">
        <v>160000</v>
      </c>
      <c r="G57" s="16">
        <v>160000</v>
      </c>
      <c r="H57" s="16">
        <v>160000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7"/>
      <c r="AL57" s="16"/>
      <c r="AM57" s="16"/>
      <c r="AN57" s="16"/>
      <c r="AO57" s="16"/>
    </row>
    <row r="58" spans="1:41" ht="15.75" customHeight="1" x14ac:dyDescent="0.6">
      <c r="A58" s="16" t="s">
        <v>50</v>
      </c>
      <c r="B58" s="16" t="s">
        <v>3</v>
      </c>
      <c r="C58" s="16" t="s">
        <v>32</v>
      </c>
      <c r="D58" s="16" t="s">
        <v>42</v>
      </c>
      <c r="E58" s="16">
        <v>165000</v>
      </c>
      <c r="F58" s="16">
        <v>165000</v>
      </c>
      <c r="G58" s="16"/>
      <c r="H58" s="16">
        <v>165000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7"/>
      <c r="AL58" s="16"/>
      <c r="AM58" s="16"/>
      <c r="AN58" s="16"/>
      <c r="AO58" s="16"/>
    </row>
    <row r="59" spans="1:41" ht="15.75" customHeight="1" x14ac:dyDescent="0.6">
      <c r="A59" s="16" t="s">
        <v>50</v>
      </c>
      <c r="B59" s="16" t="s">
        <v>3</v>
      </c>
      <c r="C59" s="16" t="s">
        <v>32</v>
      </c>
      <c r="D59" s="16" t="s">
        <v>38</v>
      </c>
      <c r="E59" s="16">
        <v>150000</v>
      </c>
      <c r="F59" s="16">
        <v>150000</v>
      </c>
      <c r="G59" s="16">
        <v>150000</v>
      </c>
      <c r="H59" s="16">
        <v>150000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7"/>
      <c r="AL59" s="16"/>
      <c r="AM59" s="16"/>
      <c r="AN59" s="16"/>
      <c r="AO59" s="16"/>
    </row>
    <row r="60" spans="1:41" ht="15.75" customHeight="1" x14ac:dyDescent="0.6">
      <c r="A60" s="16" t="s">
        <v>50</v>
      </c>
      <c r="B60" s="16" t="s">
        <v>3</v>
      </c>
      <c r="C60" s="16" t="s">
        <v>32</v>
      </c>
      <c r="D60" s="16" t="s">
        <v>51</v>
      </c>
      <c r="E60" s="16">
        <v>155000</v>
      </c>
      <c r="F60" s="16">
        <v>155000</v>
      </c>
      <c r="G60" s="16">
        <v>155000</v>
      </c>
      <c r="H60" s="16">
        <v>157500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7"/>
      <c r="AL60" s="16"/>
      <c r="AM60" s="16"/>
      <c r="AN60" s="16"/>
      <c r="AO60" s="16"/>
    </row>
    <row r="61" spans="1:41" ht="15.75" customHeight="1" x14ac:dyDescent="0.6">
      <c r="A61" s="16" t="s">
        <v>50</v>
      </c>
      <c r="B61" s="16" t="s">
        <v>3</v>
      </c>
      <c r="C61" s="16" t="s">
        <v>32</v>
      </c>
      <c r="D61" s="16" t="s">
        <v>52</v>
      </c>
      <c r="E61" s="16">
        <v>160000</v>
      </c>
      <c r="F61" s="16">
        <v>160000</v>
      </c>
      <c r="G61" s="16">
        <v>160000</v>
      </c>
      <c r="H61" s="16">
        <v>160000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7"/>
      <c r="AL61" s="16"/>
      <c r="AM61" s="16"/>
      <c r="AN61" s="16"/>
      <c r="AO61" s="16"/>
    </row>
    <row r="62" spans="1:41" ht="15.75" customHeight="1" x14ac:dyDescent="0.6">
      <c r="A62" s="19" t="s">
        <v>50</v>
      </c>
      <c r="B62" s="19" t="s">
        <v>48</v>
      </c>
      <c r="C62" s="19" t="s">
        <v>32</v>
      </c>
      <c r="D62" s="19" t="s">
        <v>33</v>
      </c>
      <c r="E62" s="20">
        <v>46880</v>
      </c>
      <c r="F62" s="19">
        <v>47604</v>
      </c>
      <c r="G62" s="19">
        <v>47977</v>
      </c>
      <c r="H62" s="19">
        <v>48766</v>
      </c>
      <c r="I62" s="19">
        <v>48567</v>
      </c>
      <c r="J62" s="19">
        <v>49191</v>
      </c>
      <c r="K62" s="19">
        <v>48837</v>
      </c>
      <c r="L62" s="19">
        <v>49106</v>
      </c>
      <c r="M62" s="19">
        <v>48860</v>
      </c>
      <c r="N62" s="19">
        <v>48580</v>
      </c>
      <c r="O62" s="19">
        <v>48280</v>
      </c>
      <c r="P62" s="19">
        <v>48265</v>
      </c>
      <c r="Q62" s="19">
        <v>48944</v>
      </c>
      <c r="R62" s="16">
        <v>48913</v>
      </c>
      <c r="S62" s="19">
        <v>47147</v>
      </c>
      <c r="T62" s="19">
        <v>48867</v>
      </c>
      <c r="U62" s="19">
        <v>49000</v>
      </c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21">
        <f>AVERAGE(E62:AJ62)</f>
        <v>48457.882352941175</v>
      </c>
      <c r="AL62" s="19"/>
      <c r="AM62" s="19"/>
      <c r="AN62" s="19"/>
      <c r="AO62" s="19"/>
    </row>
    <row r="63" spans="1:41" ht="15.75" customHeight="1" x14ac:dyDescent="0.6">
      <c r="A63" s="19" t="s">
        <v>50</v>
      </c>
      <c r="B63" s="19" t="s">
        <v>48</v>
      </c>
      <c r="C63" s="19" t="s">
        <v>32</v>
      </c>
      <c r="D63" s="19" t="s">
        <v>40</v>
      </c>
      <c r="E63" s="20">
        <v>50000</v>
      </c>
      <c r="F63" s="19">
        <v>50000</v>
      </c>
      <c r="G63" s="19">
        <v>55000</v>
      </c>
      <c r="H63" s="19">
        <v>55000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21"/>
      <c r="AL63" s="19"/>
      <c r="AM63" s="19"/>
      <c r="AN63" s="19"/>
      <c r="AO63" s="19"/>
    </row>
    <row r="64" spans="1:41" ht="15.75" customHeight="1" x14ac:dyDescent="0.6">
      <c r="A64" s="19" t="s">
        <v>50</v>
      </c>
      <c r="B64" s="19" t="s">
        <v>48</v>
      </c>
      <c r="C64" s="19" t="s">
        <v>32</v>
      </c>
      <c r="D64" s="19" t="s">
        <v>39</v>
      </c>
      <c r="E64" s="20">
        <v>50000</v>
      </c>
      <c r="F64" s="19">
        <v>50000</v>
      </c>
      <c r="G64" s="19">
        <v>50000</v>
      </c>
      <c r="H64" s="19">
        <v>50000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21"/>
      <c r="AL64" s="19"/>
      <c r="AM64" s="19"/>
      <c r="AN64" s="19"/>
      <c r="AO64" s="19"/>
    </row>
    <row r="65" spans="1:41" ht="15.75" customHeight="1" x14ac:dyDescent="0.6">
      <c r="A65" s="19" t="s">
        <v>50</v>
      </c>
      <c r="B65" s="19" t="s">
        <v>48</v>
      </c>
      <c r="C65" s="19" t="s">
        <v>32</v>
      </c>
      <c r="D65" s="19" t="s">
        <v>44</v>
      </c>
      <c r="E65" s="20">
        <v>44500</v>
      </c>
      <c r="F65" s="19">
        <v>44250</v>
      </c>
      <c r="G65" s="19">
        <v>44500</v>
      </c>
      <c r="H65" s="19">
        <v>45333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21"/>
      <c r="AL65" s="19"/>
      <c r="AM65" s="19"/>
      <c r="AN65" s="19"/>
      <c r="AO65" s="19"/>
    </row>
    <row r="66" spans="1:41" ht="15.75" customHeight="1" x14ac:dyDescent="0.6">
      <c r="A66" s="19" t="s">
        <v>50</v>
      </c>
      <c r="B66" s="19" t="s">
        <v>48</v>
      </c>
      <c r="C66" s="19" t="s">
        <v>32</v>
      </c>
      <c r="D66" s="19" t="s">
        <v>37</v>
      </c>
      <c r="E66" s="20">
        <v>48600</v>
      </c>
      <c r="F66" s="19">
        <v>48600</v>
      </c>
      <c r="G66" s="19">
        <v>48800</v>
      </c>
      <c r="H66" s="19">
        <v>49000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21"/>
      <c r="AL66" s="19"/>
      <c r="AM66" s="19"/>
      <c r="AN66" s="19"/>
      <c r="AO66" s="19"/>
    </row>
    <row r="67" spans="1:41" ht="15.75" customHeight="1" x14ac:dyDescent="0.6">
      <c r="A67" s="19" t="s">
        <v>50</v>
      </c>
      <c r="B67" s="19" t="s">
        <v>48</v>
      </c>
      <c r="C67" s="19" t="s">
        <v>32</v>
      </c>
      <c r="D67" s="19" t="s">
        <v>45</v>
      </c>
      <c r="E67" s="20">
        <v>48000</v>
      </c>
      <c r="F67" s="19">
        <v>50000</v>
      </c>
      <c r="G67" s="19">
        <v>50000</v>
      </c>
      <c r="H67" s="19">
        <v>50000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21"/>
      <c r="AL67" s="19"/>
      <c r="AM67" s="19"/>
      <c r="AN67" s="19"/>
      <c r="AO67" s="19"/>
    </row>
    <row r="68" spans="1:41" ht="15.75" customHeight="1" x14ac:dyDescent="0.6">
      <c r="A68" s="19" t="s">
        <v>50</v>
      </c>
      <c r="B68" s="19" t="s">
        <v>48</v>
      </c>
      <c r="C68" s="19" t="s">
        <v>32</v>
      </c>
      <c r="D68" s="19" t="s">
        <v>41</v>
      </c>
      <c r="E68" s="20">
        <v>46000</v>
      </c>
      <c r="F68" s="19">
        <v>46333</v>
      </c>
      <c r="G68" s="19">
        <v>46333</v>
      </c>
      <c r="H68" s="19">
        <v>46333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21"/>
      <c r="AL68" s="19"/>
      <c r="AM68" s="19"/>
      <c r="AN68" s="19"/>
      <c r="AO68" s="19"/>
    </row>
    <row r="69" spans="1:41" ht="15.75" customHeight="1" x14ac:dyDescent="0.6">
      <c r="A69" s="19" t="s">
        <v>50</v>
      </c>
      <c r="B69" s="19" t="s">
        <v>48</v>
      </c>
      <c r="C69" s="19" t="s">
        <v>32</v>
      </c>
      <c r="D69" s="19" t="s">
        <v>43</v>
      </c>
      <c r="E69" s="20">
        <v>45000</v>
      </c>
      <c r="F69" s="19">
        <v>45000</v>
      </c>
      <c r="G69" s="19">
        <v>45000</v>
      </c>
      <c r="H69" s="19">
        <v>45000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21"/>
      <c r="AL69" s="19"/>
      <c r="AM69" s="19"/>
      <c r="AN69" s="19"/>
      <c r="AO69" s="19"/>
    </row>
    <row r="70" spans="1:41" ht="15.75" customHeight="1" x14ac:dyDescent="0.6">
      <c r="A70" s="19" t="s">
        <v>50</v>
      </c>
      <c r="B70" s="19" t="s">
        <v>48</v>
      </c>
      <c r="C70" s="19" t="s">
        <v>32</v>
      </c>
      <c r="D70" s="19" t="s">
        <v>35</v>
      </c>
      <c r="E70" s="20">
        <v>44000</v>
      </c>
      <c r="F70" s="19">
        <v>44000</v>
      </c>
      <c r="G70" s="19">
        <v>47667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21"/>
      <c r="AL70" s="19"/>
      <c r="AM70" s="19"/>
      <c r="AN70" s="19"/>
      <c r="AO70" s="19"/>
    </row>
    <row r="71" spans="1:41" ht="15.75" customHeight="1" x14ac:dyDescent="0.6">
      <c r="A71" s="19" t="s">
        <v>50</v>
      </c>
      <c r="B71" s="19" t="s">
        <v>48</v>
      </c>
      <c r="C71" s="19" t="s">
        <v>32</v>
      </c>
      <c r="D71" s="19" t="s">
        <v>34</v>
      </c>
      <c r="E71" s="20">
        <v>44000</v>
      </c>
      <c r="F71" s="19">
        <v>45000</v>
      </c>
      <c r="G71" s="19"/>
      <c r="H71" s="19">
        <v>50000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21"/>
      <c r="AL71" s="19"/>
      <c r="AM71" s="19"/>
      <c r="AN71" s="19"/>
      <c r="AO71" s="19"/>
    </row>
    <row r="72" spans="1:41" ht="15.75" customHeight="1" x14ac:dyDescent="0.6">
      <c r="A72" s="19" t="s">
        <v>50</v>
      </c>
      <c r="B72" s="19" t="s">
        <v>48</v>
      </c>
      <c r="C72" s="19" t="s">
        <v>32</v>
      </c>
      <c r="D72" s="19" t="s">
        <v>36</v>
      </c>
      <c r="E72" s="20">
        <v>45000</v>
      </c>
      <c r="F72" s="19">
        <v>45000</v>
      </c>
      <c r="G72" s="19">
        <v>45000</v>
      </c>
      <c r="H72" s="19">
        <v>45000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21"/>
      <c r="AL72" s="19"/>
      <c r="AM72" s="19"/>
      <c r="AN72" s="19"/>
      <c r="AO72" s="19"/>
    </row>
    <row r="73" spans="1:41" ht="15.75" customHeight="1" x14ac:dyDescent="0.6">
      <c r="A73" s="19" t="s">
        <v>50</v>
      </c>
      <c r="B73" s="19" t="s">
        <v>48</v>
      </c>
      <c r="C73" s="19" t="s">
        <v>32</v>
      </c>
      <c r="D73" s="19" t="s">
        <v>42</v>
      </c>
      <c r="E73" s="20">
        <v>50333</v>
      </c>
      <c r="F73" s="19">
        <v>50333</v>
      </c>
      <c r="G73" s="19"/>
      <c r="H73" s="19">
        <v>50333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21"/>
      <c r="AL73" s="19"/>
      <c r="AM73" s="19"/>
      <c r="AN73" s="19"/>
      <c r="AO73" s="19"/>
    </row>
    <row r="74" spans="1:41" ht="15.75" customHeight="1" x14ac:dyDescent="0.6">
      <c r="A74" s="19" t="s">
        <v>50</v>
      </c>
      <c r="B74" s="19" t="s">
        <v>48</v>
      </c>
      <c r="C74" s="19" t="s">
        <v>32</v>
      </c>
      <c r="D74" s="19" t="s">
        <v>38</v>
      </c>
      <c r="E74" s="20">
        <v>47500</v>
      </c>
      <c r="F74" s="19">
        <v>47500</v>
      </c>
      <c r="G74" s="19">
        <v>47500</v>
      </c>
      <c r="H74" s="19">
        <v>47500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21"/>
      <c r="AL74" s="19"/>
      <c r="AM74" s="19"/>
      <c r="AN74" s="19"/>
      <c r="AO74" s="19"/>
    </row>
    <row r="75" spans="1:41" ht="15.75" customHeight="1" x14ac:dyDescent="0.6">
      <c r="A75" s="19" t="s">
        <v>50</v>
      </c>
      <c r="B75" s="19" t="s">
        <v>48</v>
      </c>
      <c r="C75" s="19" t="s">
        <v>32</v>
      </c>
      <c r="D75" s="19" t="s">
        <v>51</v>
      </c>
      <c r="E75" s="20">
        <v>46000</v>
      </c>
      <c r="F75" s="19">
        <v>49000</v>
      </c>
      <c r="G75" s="19">
        <v>48000</v>
      </c>
      <c r="H75" s="19">
        <v>50000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21"/>
      <c r="AL75" s="19"/>
      <c r="AM75" s="19"/>
      <c r="AN75" s="19"/>
      <c r="AO75" s="19"/>
    </row>
    <row r="76" spans="1:41" ht="15.75" customHeight="1" x14ac:dyDescent="0.6">
      <c r="A76" s="19" t="s">
        <v>50</v>
      </c>
      <c r="B76" s="19" t="s">
        <v>48</v>
      </c>
      <c r="C76" s="19" t="s">
        <v>32</v>
      </c>
      <c r="D76" s="19" t="s">
        <v>52</v>
      </c>
      <c r="E76" s="20">
        <v>47250</v>
      </c>
      <c r="F76" s="19">
        <v>48000</v>
      </c>
      <c r="G76" s="19">
        <v>50000</v>
      </c>
      <c r="H76" s="19">
        <v>53333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21"/>
      <c r="AL76" s="19"/>
      <c r="AM76" s="19"/>
      <c r="AN76" s="19"/>
      <c r="AO76" s="19"/>
    </row>
    <row r="77" spans="1:41" ht="15.75" customHeight="1" x14ac:dyDescent="0.6">
      <c r="A77" s="22" t="s">
        <v>50</v>
      </c>
      <c r="B77" s="22" t="s">
        <v>49</v>
      </c>
      <c r="C77" s="22" t="s">
        <v>32</v>
      </c>
      <c r="D77" s="22" t="s">
        <v>33</v>
      </c>
      <c r="E77" s="16">
        <v>33928</v>
      </c>
      <c r="F77" s="22">
        <v>33190</v>
      </c>
      <c r="G77" s="22">
        <v>33036</v>
      </c>
      <c r="H77" s="22">
        <v>33100</v>
      </c>
      <c r="I77" s="22">
        <v>32705</v>
      </c>
      <c r="J77" s="22">
        <v>33185</v>
      </c>
      <c r="K77" s="22">
        <v>32747</v>
      </c>
      <c r="L77" s="22">
        <v>32992</v>
      </c>
      <c r="M77" s="22">
        <v>33046</v>
      </c>
      <c r="N77" s="22">
        <v>33132</v>
      </c>
      <c r="O77" s="22">
        <v>33032</v>
      </c>
      <c r="P77" s="22">
        <v>33165</v>
      </c>
      <c r="Q77" s="22">
        <v>33167</v>
      </c>
      <c r="R77" s="22">
        <v>33308</v>
      </c>
      <c r="S77" s="22">
        <v>33734</v>
      </c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3"/>
      <c r="AF77" s="22"/>
      <c r="AG77" s="22"/>
      <c r="AH77" s="22"/>
      <c r="AI77" s="22"/>
      <c r="AJ77" s="22"/>
      <c r="AK77" s="24">
        <f>AVERAGE(E77:AJ77)</f>
        <v>33164.466666666667</v>
      </c>
      <c r="AL77" s="22"/>
      <c r="AM77" s="22"/>
      <c r="AN77" s="22"/>
      <c r="AO77" s="22"/>
    </row>
    <row r="78" spans="1:41" ht="15.75" customHeight="1" x14ac:dyDescent="0.6">
      <c r="A78" s="22" t="s">
        <v>50</v>
      </c>
      <c r="B78" s="22" t="s">
        <v>49</v>
      </c>
      <c r="C78" s="22" t="s">
        <v>32</v>
      </c>
      <c r="D78" s="22" t="s">
        <v>40</v>
      </c>
      <c r="E78" s="16">
        <v>32333</v>
      </c>
      <c r="F78" s="22">
        <v>32333</v>
      </c>
      <c r="G78" s="22">
        <v>31667</v>
      </c>
      <c r="H78" s="22">
        <v>31000</v>
      </c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4"/>
      <c r="AL78" s="22"/>
      <c r="AM78" s="22"/>
      <c r="AN78" s="22"/>
      <c r="AO78" s="22"/>
    </row>
    <row r="79" spans="1:41" ht="15.75" customHeight="1" x14ac:dyDescent="0.6">
      <c r="A79" s="22" t="s">
        <v>50</v>
      </c>
      <c r="B79" s="22" t="s">
        <v>49</v>
      </c>
      <c r="C79" s="22" t="s">
        <v>32</v>
      </c>
      <c r="D79" s="22" t="s">
        <v>39</v>
      </c>
      <c r="E79" s="16">
        <v>39250</v>
      </c>
      <c r="F79" s="22">
        <v>35950</v>
      </c>
      <c r="G79" s="22">
        <v>35950</v>
      </c>
      <c r="H79" s="22">
        <v>35950</v>
      </c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4"/>
      <c r="AL79" s="22"/>
      <c r="AM79" s="22"/>
      <c r="AN79" s="22"/>
      <c r="AO79" s="22"/>
    </row>
    <row r="80" spans="1:41" ht="15.75" customHeight="1" x14ac:dyDescent="0.6">
      <c r="A80" s="22" t="s">
        <v>50</v>
      </c>
      <c r="B80" s="22" t="s">
        <v>49</v>
      </c>
      <c r="C80" s="22" t="s">
        <v>32</v>
      </c>
      <c r="D80" s="22" t="s">
        <v>44</v>
      </c>
      <c r="E80" s="16">
        <v>36533</v>
      </c>
      <c r="F80" s="22">
        <v>36800</v>
      </c>
      <c r="G80" s="22">
        <v>35200</v>
      </c>
      <c r="H80" s="22">
        <v>36000</v>
      </c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4"/>
      <c r="AL80" s="22"/>
      <c r="AM80" s="22"/>
      <c r="AN80" s="22"/>
      <c r="AO80" s="22"/>
    </row>
    <row r="81" spans="1:41" ht="15.75" customHeight="1" x14ac:dyDescent="0.6">
      <c r="A81" s="22" t="s">
        <v>50</v>
      </c>
      <c r="B81" s="22" t="s">
        <v>49</v>
      </c>
      <c r="C81" s="22" t="s">
        <v>32</v>
      </c>
      <c r="D81" s="22" t="s">
        <v>37</v>
      </c>
      <c r="E81" s="16">
        <v>36750</v>
      </c>
      <c r="F81" s="22">
        <v>36583</v>
      </c>
      <c r="G81" s="22">
        <v>34750</v>
      </c>
      <c r="H81" s="22">
        <v>36417</v>
      </c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4"/>
      <c r="AL81" s="22"/>
      <c r="AM81" s="22"/>
      <c r="AN81" s="22"/>
      <c r="AO81" s="22"/>
    </row>
    <row r="82" spans="1:41" ht="15.75" customHeight="1" x14ac:dyDescent="0.6">
      <c r="A82" s="22" t="s">
        <v>50</v>
      </c>
      <c r="B82" s="22" t="s">
        <v>49</v>
      </c>
      <c r="C82" s="22" t="s">
        <v>32</v>
      </c>
      <c r="D82" s="22" t="s">
        <v>45</v>
      </c>
      <c r="E82" s="16">
        <v>33000</v>
      </c>
      <c r="F82" s="22">
        <v>33000</v>
      </c>
      <c r="G82" s="22">
        <v>33000</v>
      </c>
      <c r="H82" s="22">
        <v>33000</v>
      </c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4"/>
      <c r="AL82" s="22"/>
      <c r="AM82" s="22"/>
      <c r="AN82" s="22"/>
      <c r="AO82" s="22"/>
    </row>
    <row r="83" spans="1:41" ht="15.75" customHeight="1" x14ac:dyDescent="0.6">
      <c r="A83" s="22" t="s">
        <v>50</v>
      </c>
      <c r="B83" s="22" t="s">
        <v>49</v>
      </c>
      <c r="C83" s="22" t="s">
        <v>32</v>
      </c>
      <c r="D83" s="22" t="s">
        <v>41</v>
      </c>
      <c r="E83" s="16">
        <v>34000</v>
      </c>
      <c r="F83" s="22">
        <v>34000</v>
      </c>
      <c r="G83" s="22">
        <v>34000</v>
      </c>
      <c r="H83" s="22">
        <v>34000</v>
      </c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4"/>
      <c r="AL83" s="22"/>
      <c r="AM83" s="22"/>
      <c r="AN83" s="22"/>
      <c r="AO83" s="22"/>
    </row>
    <row r="84" spans="1:41" ht="15.75" customHeight="1" x14ac:dyDescent="0.6">
      <c r="A84" s="22" t="s">
        <v>50</v>
      </c>
      <c r="B84" s="22" t="s">
        <v>49</v>
      </c>
      <c r="C84" s="22" t="s">
        <v>32</v>
      </c>
      <c r="D84" s="22" t="s">
        <v>43</v>
      </c>
      <c r="E84" s="16">
        <v>35000</v>
      </c>
      <c r="F84" s="22">
        <v>35000</v>
      </c>
      <c r="G84" s="22">
        <v>35000</v>
      </c>
      <c r="H84" s="22">
        <v>35000</v>
      </c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4"/>
      <c r="AL84" s="22"/>
      <c r="AM84" s="22"/>
      <c r="AN84" s="22"/>
      <c r="AO84" s="22"/>
    </row>
    <row r="85" spans="1:41" ht="15.75" customHeight="1" x14ac:dyDescent="0.6">
      <c r="A85" s="22" t="s">
        <v>50</v>
      </c>
      <c r="B85" s="22" t="s">
        <v>49</v>
      </c>
      <c r="C85" s="22" t="s">
        <v>32</v>
      </c>
      <c r="D85" s="22" t="s">
        <v>35</v>
      </c>
      <c r="E85" s="16">
        <v>32500</v>
      </c>
      <c r="F85" s="22">
        <v>32500</v>
      </c>
      <c r="G85" s="22">
        <v>30667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4"/>
      <c r="AL85" s="22"/>
      <c r="AM85" s="22"/>
      <c r="AN85" s="22"/>
      <c r="AO85" s="22"/>
    </row>
    <row r="86" spans="1:41" ht="15.75" customHeight="1" x14ac:dyDescent="0.6">
      <c r="A86" s="22" t="s">
        <v>50</v>
      </c>
      <c r="B86" s="22" t="s">
        <v>49</v>
      </c>
      <c r="C86" s="22" t="s">
        <v>32</v>
      </c>
      <c r="D86" s="22" t="s">
        <v>34</v>
      </c>
      <c r="E86" s="16">
        <v>30000</v>
      </c>
      <c r="F86" s="22">
        <v>29500</v>
      </c>
      <c r="G86" s="22"/>
      <c r="H86" s="22">
        <v>30000</v>
      </c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4"/>
      <c r="AL86" s="22"/>
      <c r="AM86" s="22"/>
      <c r="AN86" s="22"/>
      <c r="AO86" s="22"/>
    </row>
    <row r="87" spans="1:41" ht="15.75" customHeight="1" x14ac:dyDescent="0.6">
      <c r="A87" s="22" t="s">
        <v>50</v>
      </c>
      <c r="B87" s="22" t="s">
        <v>49</v>
      </c>
      <c r="C87" s="22" t="s">
        <v>32</v>
      </c>
      <c r="D87" s="22" t="s">
        <v>36</v>
      </c>
      <c r="E87" s="16">
        <v>30000</v>
      </c>
      <c r="F87" s="22">
        <v>30000</v>
      </c>
      <c r="G87" s="22">
        <v>30000</v>
      </c>
      <c r="H87" s="22">
        <v>30000</v>
      </c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4"/>
      <c r="AL87" s="22"/>
      <c r="AM87" s="22"/>
      <c r="AN87" s="22"/>
      <c r="AO87" s="22"/>
    </row>
    <row r="88" spans="1:41" ht="15.75" customHeight="1" x14ac:dyDescent="0.6">
      <c r="A88" s="22" t="s">
        <v>50</v>
      </c>
      <c r="B88" s="22" t="s">
        <v>49</v>
      </c>
      <c r="C88" s="22" t="s">
        <v>32</v>
      </c>
      <c r="D88" s="22" t="s">
        <v>42</v>
      </c>
      <c r="E88" s="16">
        <v>34259</v>
      </c>
      <c r="F88" s="22">
        <v>34259</v>
      </c>
      <c r="G88" s="22">
        <v>34259</v>
      </c>
      <c r="H88" s="22">
        <v>34259</v>
      </c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4"/>
      <c r="AL88" s="22"/>
      <c r="AM88" s="22"/>
      <c r="AN88" s="22"/>
      <c r="AO88" s="22"/>
    </row>
    <row r="89" spans="1:41" ht="15.75" customHeight="1" x14ac:dyDescent="0.6">
      <c r="A89" s="22" t="s">
        <v>50</v>
      </c>
      <c r="B89" s="22" t="s">
        <v>49</v>
      </c>
      <c r="C89" s="22" t="s">
        <v>32</v>
      </c>
      <c r="D89" s="22" t="s">
        <v>38</v>
      </c>
      <c r="E89" s="16">
        <v>35200</v>
      </c>
      <c r="F89" s="22">
        <v>33600</v>
      </c>
      <c r="G89" s="22">
        <v>33600</v>
      </c>
      <c r="H89" s="22">
        <v>33600</v>
      </c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4"/>
      <c r="AL89" s="22"/>
      <c r="AM89" s="22"/>
      <c r="AN89" s="22"/>
      <c r="AO89" s="22"/>
    </row>
    <row r="90" spans="1:41" ht="15.75" customHeight="1" x14ac:dyDescent="0.6">
      <c r="A90" s="22" t="s">
        <v>50</v>
      </c>
      <c r="B90" s="22" t="s">
        <v>49</v>
      </c>
      <c r="C90" s="22" t="s">
        <v>32</v>
      </c>
      <c r="D90" s="22" t="s">
        <v>51</v>
      </c>
      <c r="E90" s="16">
        <v>31500</v>
      </c>
      <c r="F90" s="22">
        <v>32000</v>
      </c>
      <c r="G90" s="22">
        <v>31167</v>
      </c>
      <c r="H90" s="22">
        <v>30000</v>
      </c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4"/>
      <c r="AL90" s="22"/>
      <c r="AM90" s="22"/>
      <c r="AN90" s="22"/>
      <c r="AO90" s="22"/>
    </row>
    <row r="91" spans="1:41" ht="15.75" customHeight="1" x14ac:dyDescent="0.6">
      <c r="A91" s="22" t="s">
        <v>50</v>
      </c>
      <c r="B91" s="22" t="s">
        <v>49</v>
      </c>
      <c r="C91" s="22" t="s">
        <v>32</v>
      </c>
      <c r="D91" s="22" t="s">
        <v>52</v>
      </c>
      <c r="E91" s="16">
        <v>30250</v>
      </c>
      <c r="F91" s="22">
        <v>30000</v>
      </c>
      <c r="G91" s="22">
        <v>30000</v>
      </c>
      <c r="H91" s="22">
        <v>29800</v>
      </c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4"/>
      <c r="AL91" s="22"/>
      <c r="AM91" s="22"/>
      <c r="AN91" s="22"/>
      <c r="AO91" s="22"/>
    </row>
    <row r="92" spans="1:41" ht="15.75" customHeight="1" x14ac:dyDescent="0.6">
      <c r="A92" s="25" t="s">
        <v>50</v>
      </c>
      <c r="B92" s="25" t="s">
        <v>53</v>
      </c>
      <c r="C92" s="25" t="s">
        <v>32</v>
      </c>
      <c r="D92" s="25" t="s">
        <v>33</v>
      </c>
      <c r="E92" s="25">
        <v>6700</v>
      </c>
      <c r="F92" s="25">
        <v>6700</v>
      </c>
      <c r="G92" s="25">
        <v>6700</v>
      </c>
      <c r="H92" s="25">
        <v>6700</v>
      </c>
      <c r="I92" s="25">
        <v>6700</v>
      </c>
      <c r="J92" s="25">
        <v>6700</v>
      </c>
      <c r="K92" s="25">
        <v>6700</v>
      </c>
      <c r="L92" s="25">
        <v>6700</v>
      </c>
      <c r="M92" s="25">
        <v>6700</v>
      </c>
      <c r="N92" s="25">
        <v>6700</v>
      </c>
      <c r="O92" s="25">
        <v>6700</v>
      </c>
      <c r="P92" s="25">
        <v>6700</v>
      </c>
      <c r="Q92" s="25">
        <v>6700</v>
      </c>
      <c r="R92" s="25">
        <v>6700</v>
      </c>
      <c r="S92" s="25">
        <v>6700</v>
      </c>
      <c r="T92" s="25">
        <v>6700</v>
      </c>
      <c r="U92" s="25">
        <v>6700</v>
      </c>
      <c r="V92" s="25">
        <v>6700</v>
      </c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6"/>
      <c r="AL92" s="25"/>
      <c r="AM92" s="25"/>
      <c r="AN92" s="25"/>
      <c r="AO92" s="25"/>
    </row>
    <row r="93" spans="1:41" ht="15.75" customHeight="1" x14ac:dyDescent="0.6">
      <c r="A93" s="25" t="s">
        <v>50</v>
      </c>
      <c r="B93" s="25" t="s">
        <v>53</v>
      </c>
      <c r="C93" s="25" t="s">
        <v>32</v>
      </c>
      <c r="D93" s="25" t="s">
        <v>52</v>
      </c>
      <c r="E93" s="25">
        <v>6700</v>
      </c>
      <c r="F93" s="25">
        <v>6700</v>
      </c>
      <c r="G93" s="25">
        <v>6700</v>
      </c>
      <c r="H93" s="25">
        <v>6700</v>
      </c>
      <c r="I93" s="25">
        <v>6700</v>
      </c>
      <c r="J93" s="25">
        <v>6700</v>
      </c>
      <c r="K93" s="25">
        <v>6700</v>
      </c>
      <c r="L93" s="25">
        <v>6700</v>
      </c>
      <c r="M93" s="25">
        <v>6700</v>
      </c>
      <c r="N93" s="25">
        <v>6700</v>
      </c>
      <c r="O93" s="25">
        <v>6700</v>
      </c>
      <c r="P93" s="25">
        <v>6700</v>
      </c>
      <c r="Q93" s="25">
        <v>6700</v>
      </c>
      <c r="R93" s="25">
        <v>6700</v>
      </c>
      <c r="S93" s="25">
        <v>6700</v>
      </c>
      <c r="T93" s="25">
        <v>6700</v>
      </c>
      <c r="U93" s="25">
        <v>6700</v>
      </c>
      <c r="V93" s="25">
        <v>6700</v>
      </c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6"/>
      <c r="AL93" s="25"/>
      <c r="AM93" s="25"/>
      <c r="AN93" s="25"/>
      <c r="AO93" s="25"/>
    </row>
    <row r="94" spans="1:41" ht="15.75" customHeight="1" x14ac:dyDescent="0.6">
      <c r="A94" s="27" t="s">
        <v>54</v>
      </c>
      <c r="B94" s="27" t="s">
        <v>55</v>
      </c>
      <c r="C94" s="27" t="s">
        <v>56</v>
      </c>
      <c r="D94" s="27" t="s">
        <v>33</v>
      </c>
      <c r="E94" s="27"/>
      <c r="F94" s="27">
        <v>40650</v>
      </c>
      <c r="G94" s="27"/>
      <c r="H94" s="27">
        <v>41600</v>
      </c>
      <c r="I94" s="27">
        <v>42900</v>
      </c>
      <c r="J94" s="27">
        <v>41900</v>
      </c>
      <c r="K94" s="27"/>
      <c r="L94" s="27"/>
      <c r="M94" s="35">
        <v>41000</v>
      </c>
      <c r="N94" s="27">
        <v>40800</v>
      </c>
      <c r="O94" s="27">
        <v>40550</v>
      </c>
      <c r="P94" s="27">
        <v>40450</v>
      </c>
      <c r="Q94" s="27">
        <v>41350</v>
      </c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8"/>
      <c r="AL94" s="27"/>
      <c r="AM94" s="27"/>
      <c r="AN94" s="27"/>
      <c r="AO94" s="27"/>
    </row>
    <row r="95" spans="1:41" ht="15.75" customHeight="1" x14ac:dyDescent="0.6">
      <c r="A95" s="27" t="s">
        <v>54</v>
      </c>
      <c r="B95" s="27" t="s">
        <v>55</v>
      </c>
      <c r="C95" s="27" t="s">
        <v>56</v>
      </c>
      <c r="D95" s="27" t="s">
        <v>38</v>
      </c>
      <c r="E95" s="27"/>
      <c r="F95" s="27">
        <v>44750</v>
      </c>
      <c r="G95" s="27"/>
      <c r="H95" s="27">
        <v>45500</v>
      </c>
      <c r="I95" s="27">
        <v>45500</v>
      </c>
      <c r="J95" s="27">
        <v>46500</v>
      </c>
      <c r="K95" s="27"/>
      <c r="L95" s="27"/>
      <c r="M95" s="27">
        <v>45500</v>
      </c>
      <c r="N95" s="27">
        <v>45500</v>
      </c>
      <c r="O95" s="27">
        <v>45750</v>
      </c>
      <c r="P95" s="27">
        <v>45750</v>
      </c>
      <c r="Q95" s="27">
        <v>45750</v>
      </c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8"/>
      <c r="AL95" s="27"/>
      <c r="AM95" s="27"/>
      <c r="AN95" s="27"/>
      <c r="AO95" s="27"/>
    </row>
    <row r="96" spans="1:41" ht="15.75" customHeight="1" x14ac:dyDescent="0.6">
      <c r="A96" s="27" t="s">
        <v>54</v>
      </c>
      <c r="B96" s="27" t="s">
        <v>55</v>
      </c>
      <c r="C96" s="27" t="s">
        <v>56</v>
      </c>
      <c r="D96" s="27" t="s">
        <v>51</v>
      </c>
      <c r="E96" s="27"/>
      <c r="F96" s="27">
        <v>39250</v>
      </c>
      <c r="G96" s="27"/>
      <c r="H96" s="27">
        <v>40250</v>
      </c>
      <c r="I96" s="27">
        <v>40250</v>
      </c>
      <c r="J96" s="27">
        <v>40150</v>
      </c>
      <c r="K96" s="27"/>
      <c r="L96" s="27"/>
      <c r="M96" s="27">
        <v>39000</v>
      </c>
      <c r="N96" s="27">
        <v>38400</v>
      </c>
      <c r="O96" s="27">
        <v>37400</v>
      </c>
      <c r="P96" s="27">
        <v>37150</v>
      </c>
      <c r="Q96" s="27">
        <v>36900</v>
      </c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8"/>
      <c r="AL96" s="27"/>
      <c r="AM96" s="27"/>
      <c r="AN96" s="27"/>
      <c r="AO96" s="27"/>
    </row>
    <row r="97" spans="1:41" ht="15.75" customHeight="1" x14ac:dyDescent="0.6">
      <c r="A97" s="27" t="s">
        <v>54</v>
      </c>
      <c r="B97" s="27" t="s">
        <v>55</v>
      </c>
      <c r="C97" s="27" t="s">
        <v>56</v>
      </c>
      <c r="D97" s="27" t="s">
        <v>52</v>
      </c>
      <c r="E97" s="27"/>
      <c r="F97" s="27">
        <v>38000</v>
      </c>
      <c r="G97" s="27"/>
      <c r="H97" s="27">
        <v>39000</v>
      </c>
      <c r="I97" s="27"/>
      <c r="J97" s="27">
        <v>39000</v>
      </c>
      <c r="K97" s="27"/>
      <c r="L97" s="27"/>
      <c r="M97" s="27">
        <v>38500</v>
      </c>
      <c r="N97" s="27">
        <v>38500</v>
      </c>
      <c r="O97" s="27">
        <v>38500</v>
      </c>
      <c r="P97" s="27">
        <v>38500</v>
      </c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8"/>
      <c r="AL97" s="27"/>
      <c r="AM97" s="27"/>
      <c r="AN97" s="27"/>
      <c r="AO97" s="27"/>
    </row>
    <row r="98" spans="1:41" ht="15.75" customHeight="1" x14ac:dyDescent="0.6">
      <c r="A98" s="29" t="s">
        <v>54</v>
      </c>
      <c r="B98" s="29" t="s">
        <v>55</v>
      </c>
      <c r="C98" s="29" t="s">
        <v>57</v>
      </c>
      <c r="D98" s="29" t="s">
        <v>33</v>
      </c>
      <c r="E98" s="29"/>
      <c r="F98" s="29">
        <v>39900</v>
      </c>
      <c r="G98" s="29">
        <v>39900</v>
      </c>
      <c r="H98" s="29">
        <v>39900</v>
      </c>
      <c r="I98" s="29">
        <v>39900</v>
      </c>
      <c r="J98" s="29">
        <v>39900</v>
      </c>
      <c r="K98" s="29"/>
      <c r="L98" s="29"/>
      <c r="M98" s="29">
        <v>39000</v>
      </c>
      <c r="N98" s="29">
        <v>39000</v>
      </c>
      <c r="O98" s="29">
        <v>39000</v>
      </c>
      <c r="P98" s="29">
        <v>39900</v>
      </c>
      <c r="Q98" s="29">
        <v>39900</v>
      </c>
      <c r="R98" s="29"/>
      <c r="S98" s="29"/>
      <c r="T98" s="29">
        <v>39900</v>
      </c>
      <c r="U98" s="29">
        <v>39900</v>
      </c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30"/>
      <c r="AL98" s="29"/>
      <c r="AM98" s="29"/>
      <c r="AN98" s="29"/>
      <c r="AO98" s="29"/>
    </row>
    <row r="99" spans="1:41" ht="15.75" customHeight="1" x14ac:dyDescent="0.6">
      <c r="A99" s="29" t="s">
        <v>54</v>
      </c>
      <c r="B99" s="29" t="s">
        <v>55</v>
      </c>
      <c r="C99" s="29" t="s">
        <v>57</v>
      </c>
      <c r="D99" s="29" t="s">
        <v>52</v>
      </c>
      <c r="E99" s="29"/>
      <c r="F99" s="29">
        <v>39900</v>
      </c>
      <c r="G99" s="29">
        <v>39900</v>
      </c>
      <c r="H99" s="29">
        <v>39900</v>
      </c>
      <c r="I99" s="29">
        <v>39900</v>
      </c>
      <c r="J99" s="29">
        <v>39900</v>
      </c>
      <c r="K99" s="29"/>
      <c r="L99" s="29"/>
      <c r="M99" s="29">
        <v>39000</v>
      </c>
      <c r="N99" s="29">
        <v>39000</v>
      </c>
      <c r="O99" s="29">
        <v>39000</v>
      </c>
      <c r="P99" s="29">
        <v>39900</v>
      </c>
      <c r="Q99" s="29">
        <v>39900</v>
      </c>
      <c r="R99" s="29"/>
      <c r="S99" s="29"/>
      <c r="T99" s="29">
        <v>39900</v>
      </c>
      <c r="U99" s="29">
        <v>39900</v>
      </c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30"/>
      <c r="AL99" s="29"/>
      <c r="AM99" s="29"/>
      <c r="AN99" s="29"/>
      <c r="AO99" s="29"/>
    </row>
    <row r="100" spans="1:41" ht="15.75" customHeight="1" x14ac:dyDescent="0.6">
      <c r="A100" s="27" t="s">
        <v>54</v>
      </c>
      <c r="B100" s="27" t="s">
        <v>58</v>
      </c>
      <c r="C100" s="27" t="s">
        <v>56</v>
      </c>
      <c r="D100" s="27" t="s">
        <v>33</v>
      </c>
      <c r="E100" s="27"/>
      <c r="F100" s="27">
        <v>157500</v>
      </c>
      <c r="G100" s="27"/>
      <c r="H100" s="27">
        <v>157500</v>
      </c>
      <c r="I100" s="27">
        <v>156900</v>
      </c>
      <c r="J100" s="27">
        <v>156250</v>
      </c>
      <c r="K100" s="27"/>
      <c r="L100" s="27"/>
      <c r="M100" s="27">
        <v>157900</v>
      </c>
      <c r="N100" s="27">
        <v>157900</v>
      </c>
      <c r="O100" s="27">
        <v>157900</v>
      </c>
      <c r="P100" s="27">
        <v>158350</v>
      </c>
      <c r="Q100" s="27">
        <v>158750</v>
      </c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8"/>
      <c r="AL100" s="27"/>
      <c r="AM100" s="27"/>
      <c r="AN100" s="27"/>
      <c r="AO100" s="27"/>
    </row>
    <row r="101" spans="1:41" ht="15.75" customHeight="1" x14ac:dyDescent="0.6">
      <c r="A101" s="27" t="s">
        <v>54</v>
      </c>
      <c r="B101" s="27" t="s">
        <v>58</v>
      </c>
      <c r="C101" s="27" t="s">
        <v>56</v>
      </c>
      <c r="D101" s="27" t="s">
        <v>38</v>
      </c>
      <c r="E101" s="27"/>
      <c r="F101" s="27">
        <v>157500</v>
      </c>
      <c r="G101" s="27"/>
      <c r="H101" s="27">
        <v>157500</v>
      </c>
      <c r="I101" s="27">
        <v>157500</v>
      </c>
      <c r="J101" s="27">
        <v>157500</v>
      </c>
      <c r="K101" s="27"/>
      <c r="L101" s="27"/>
      <c r="M101" s="27">
        <v>157500</v>
      </c>
      <c r="N101" s="27">
        <v>157500</v>
      </c>
      <c r="O101" s="27">
        <v>157500</v>
      </c>
      <c r="P101" s="27">
        <v>157500</v>
      </c>
      <c r="Q101" s="27">
        <v>157500</v>
      </c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8"/>
      <c r="AL101" s="27"/>
      <c r="AM101" s="27"/>
      <c r="AN101" s="27"/>
      <c r="AO101" s="27"/>
    </row>
    <row r="102" spans="1:41" ht="15.75" customHeight="1" x14ac:dyDescent="0.6">
      <c r="A102" s="27" t="s">
        <v>54</v>
      </c>
      <c r="B102" s="27" t="s">
        <v>58</v>
      </c>
      <c r="C102" s="27" t="s">
        <v>56</v>
      </c>
      <c r="D102" s="27" t="s">
        <v>51</v>
      </c>
      <c r="E102" s="27"/>
      <c r="F102" s="27">
        <v>155000</v>
      </c>
      <c r="G102" s="27"/>
      <c r="H102" s="27">
        <v>157500</v>
      </c>
      <c r="I102" s="27">
        <v>156250</v>
      </c>
      <c r="J102" s="27">
        <v>156250</v>
      </c>
      <c r="K102" s="27"/>
      <c r="L102" s="27"/>
      <c r="M102" s="27">
        <v>156250</v>
      </c>
      <c r="N102" s="27">
        <v>156250</v>
      </c>
      <c r="O102" s="27">
        <v>156250</v>
      </c>
      <c r="P102" s="27">
        <v>157500</v>
      </c>
      <c r="Q102" s="27">
        <v>160000</v>
      </c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8"/>
      <c r="AL102" s="27"/>
      <c r="AM102" s="27"/>
      <c r="AN102" s="27"/>
      <c r="AO102" s="27"/>
    </row>
    <row r="103" spans="1:41" ht="15.75" customHeight="1" x14ac:dyDescent="0.6">
      <c r="A103" s="27" t="s">
        <v>54</v>
      </c>
      <c r="B103" s="27" t="s">
        <v>58</v>
      </c>
      <c r="C103" s="27" t="s">
        <v>56</v>
      </c>
      <c r="D103" s="27" t="s">
        <v>52</v>
      </c>
      <c r="E103" s="27"/>
      <c r="F103" s="27">
        <v>160000</v>
      </c>
      <c r="G103" s="27"/>
      <c r="H103" s="27">
        <v>160000</v>
      </c>
      <c r="I103" s="27"/>
      <c r="J103" s="27">
        <v>160000</v>
      </c>
      <c r="K103" s="27"/>
      <c r="L103" s="27"/>
      <c r="M103" s="27">
        <v>160000</v>
      </c>
      <c r="N103" s="27">
        <v>160000</v>
      </c>
      <c r="O103" s="27">
        <v>160000</v>
      </c>
      <c r="P103" s="27">
        <v>160000</v>
      </c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8"/>
      <c r="AL103" s="27"/>
      <c r="AM103" s="27"/>
      <c r="AN103" s="27"/>
      <c r="AO103" s="27"/>
    </row>
    <row r="104" spans="1:41" ht="15.75" customHeight="1" x14ac:dyDescent="0.6">
      <c r="A104" s="29" t="s">
        <v>54</v>
      </c>
      <c r="B104" s="29" t="s">
        <v>58</v>
      </c>
      <c r="C104" s="29" t="s">
        <v>57</v>
      </c>
      <c r="D104" s="29" t="s">
        <v>33</v>
      </c>
      <c r="E104" s="29"/>
      <c r="F104" s="29">
        <v>128000</v>
      </c>
      <c r="G104" s="29">
        <v>128000</v>
      </c>
      <c r="H104" s="29">
        <v>128000</v>
      </c>
      <c r="I104" s="29">
        <v>128000</v>
      </c>
      <c r="J104" s="29">
        <v>128000</v>
      </c>
      <c r="K104" s="29"/>
      <c r="L104" s="29"/>
      <c r="M104" s="29">
        <v>128000</v>
      </c>
      <c r="N104" s="29">
        <v>128000</v>
      </c>
      <c r="O104" s="29">
        <v>135000</v>
      </c>
      <c r="P104" s="29">
        <v>135000</v>
      </c>
      <c r="Q104" s="29">
        <v>135000</v>
      </c>
      <c r="R104" s="29"/>
      <c r="S104" s="29"/>
      <c r="T104" s="29">
        <v>135000</v>
      </c>
      <c r="U104" s="29">
        <v>135000</v>
      </c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30"/>
      <c r="AL104" s="29"/>
      <c r="AM104" s="29"/>
      <c r="AN104" s="29"/>
      <c r="AO104" s="29"/>
    </row>
    <row r="105" spans="1:41" ht="15.75" customHeight="1" x14ac:dyDescent="0.6">
      <c r="A105" s="29" t="s">
        <v>54</v>
      </c>
      <c r="B105" s="29" t="s">
        <v>58</v>
      </c>
      <c r="C105" s="29" t="s">
        <v>57</v>
      </c>
      <c r="D105" s="29" t="s">
        <v>52</v>
      </c>
      <c r="E105" s="29"/>
      <c r="F105" s="29">
        <v>128000</v>
      </c>
      <c r="G105" s="29">
        <v>128000</v>
      </c>
      <c r="H105" s="29">
        <v>128000</v>
      </c>
      <c r="I105" s="29">
        <v>128000</v>
      </c>
      <c r="J105" s="29">
        <v>128000</v>
      </c>
      <c r="K105" s="29"/>
      <c r="L105" s="29"/>
      <c r="M105" s="29">
        <v>128000</v>
      </c>
      <c r="N105" s="29">
        <v>128000</v>
      </c>
      <c r="O105" s="29">
        <v>135000</v>
      </c>
      <c r="P105" s="29">
        <v>135000</v>
      </c>
      <c r="Q105" s="29">
        <v>135000</v>
      </c>
      <c r="R105" s="29"/>
      <c r="S105" s="29"/>
      <c r="T105" s="29">
        <v>135000</v>
      </c>
      <c r="U105" s="29">
        <v>135000</v>
      </c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30"/>
      <c r="AL105" s="29"/>
      <c r="AM105" s="29"/>
      <c r="AN105" s="29"/>
      <c r="AO105" s="29"/>
    </row>
    <row r="106" spans="1:41" ht="15.75" customHeight="1" x14ac:dyDescent="0.6">
      <c r="A106" s="27" t="s">
        <v>54</v>
      </c>
      <c r="B106" s="27" t="s">
        <v>59</v>
      </c>
      <c r="C106" s="27" t="s">
        <v>56</v>
      </c>
      <c r="D106" s="27" t="s">
        <v>33</v>
      </c>
      <c r="E106" s="27"/>
      <c r="F106" s="27">
        <v>141650</v>
      </c>
      <c r="G106" s="27"/>
      <c r="H106" s="27">
        <v>141650</v>
      </c>
      <c r="I106" s="27">
        <v>133150</v>
      </c>
      <c r="J106" s="27">
        <v>142100</v>
      </c>
      <c r="K106" s="27"/>
      <c r="L106" s="27"/>
      <c r="M106" s="27">
        <v>142100</v>
      </c>
      <c r="N106" s="27">
        <v>142100</v>
      </c>
      <c r="O106" s="27">
        <v>142100</v>
      </c>
      <c r="P106" s="27">
        <v>142500</v>
      </c>
      <c r="Q106" s="27">
        <v>135000</v>
      </c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8"/>
      <c r="AL106" s="27"/>
      <c r="AM106" s="27"/>
      <c r="AN106" s="27"/>
      <c r="AO106" s="27"/>
    </row>
    <row r="107" spans="1:41" ht="15.75" customHeight="1" x14ac:dyDescent="0.6">
      <c r="A107" s="27" t="s">
        <v>54</v>
      </c>
      <c r="B107" s="27" t="s">
        <v>59</v>
      </c>
      <c r="C107" s="27" t="s">
        <v>56</v>
      </c>
      <c r="D107" s="27" t="s">
        <v>38</v>
      </c>
      <c r="E107" s="27"/>
      <c r="F107" s="27">
        <v>112500</v>
      </c>
      <c r="G107" s="27"/>
      <c r="H107" s="27">
        <v>112500</v>
      </c>
      <c r="I107" s="27">
        <v>112500</v>
      </c>
      <c r="J107" s="27">
        <v>112500</v>
      </c>
      <c r="K107" s="27"/>
      <c r="L107" s="27"/>
      <c r="M107" s="27">
        <v>112500</v>
      </c>
      <c r="N107" s="27">
        <v>112500</v>
      </c>
      <c r="O107" s="27">
        <v>112500</v>
      </c>
      <c r="P107" s="27">
        <v>112500</v>
      </c>
      <c r="Q107" s="27">
        <v>112500</v>
      </c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8"/>
      <c r="AL107" s="27"/>
      <c r="AM107" s="27"/>
      <c r="AN107" s="27"/>
      <c r="AO107" s="27"/>
    </row>
    <row r="108" spans="1:41" ht="15.75" customHeight="1" x14ac:dyDescent="0.6">
      <c r="A108" s="27" t="s">
        <v>54</v>
      </c>
      <c r="B108" s="27" t="s">
        <v>59</v>
      </c>
      <c r="C108" s="27" t="s">
        <v>56</v>
      </c>
      <c r="D108" s="27" t="s">
        <v>51</v>
      </c>
      <c r="E108" s="27"/>
      <c r="F108" s="27">
        <v>152500</v>
      </c>
      <c r="G108" s="27"/>
      <c r="H108" s="27">
        <v>152500</v>
      </c>
      <c r="I108" s="27">
        <v>153750</v>
      </c>
      <c r="J108" s="27">
        <v>153750</v>
      </c>
      <c r="K108" s="27"/>
      <c r="L108" s="27"/>
      <c r="M108" s="27">
        <v>153750</v>
      </c>
      <c r="N108" s="27">
        <v>153750</v>
      </c>
      <c r="O108" s="27">
        <v>153750</v>
      </c>
      <c r="P108" s="27">
        <v>155000</v>
      </c>
      <c r="Q108" s="27">
        <v>157500</v>
      </c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8"/>
      <c r="AL108" s="27"/>
      <c r="AM108" s="27"/>
      <c r="AN108" s="27"/>
      <c r="AO108" s="27"/>
    </row>
    <row r="109" spans="1:41" ht="15.75" customHeight="1" x14ac:dyDescent="0.6">
      <c r="A109" s="27" t="s">
        <v>54</v>
      </c>
      <c r="B109" s="27" t="s">
        <v>59</v>
      </c>
      <c r="C109" s="27" t="s">
        <v>56</v>
      </c>
      <c r="D109" s="27" t="s">
        <v>52</v>
      </c>
      <c r="E109" s="27"/>
      <c r="F109" s="27">
        <v>160000</v>
      </c>
      <c r="G109" s="27"/>
      <c r="H109" s="27">
        <v>160000</v>
      </c>
      <c r="I109" s="27"/>
      <c r="J109" s="27">
        <v>160000</v>
      </c>
      <c r="K109" s="27"/>
      <c r="L109" s="27"/>
      <c r="M109" s="27">
        <v>160000</v>
      </c>
      <c r="N109" s="27">
        <v>160000</v>
      </c>
      <c r="O109" s="27">
        <v>160000</v>
      </c>
      <c r="P109" s="27">
        <v>160000</v>
      </c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8"/>
      <c r="AL109" s="27"/>
      <c r="AM109" s="27"/>
      <c r="AN109" s="27"/>
      <c r="AO109" s="27"/>
    </row>
    <row r="110" spans="1:41" ht="15.75" customHeight="1" x14ac:dyDescent="0.6">
      <c r="A110" s="29" t="s">
        <v>54</v>
      </c>
      <c r="B110" s="29" t="s">
        <v>59</v>
      </c>
      <c r="C110" s="29" t="s">
        <v>57</v>
      </c>
      <c r="D110" s="29" t="s">
        <v>33</v>
      </c>
      <c r="E110" s="29"/>
      <c r="F110" s="29">
        <v>156000</v>
      </c>
      <c r="G110" s="29">
        <v>156000</v>
      </c>
      <c r="H110" s="29">
        <v>156000</v>
      </c>
      <c r="I110" s="29">
        <v>156000</v>
      </c>
      <c r="J110" s="29">
        <v>156000</v>
      </c>
      <c r="K110" s="29"/>
      <c r="L110" s="29"/>
      <c r="M110" s="29">
        <v>156000</v>
      </c>
      <c r="N110" s="29">
        <v>156000</v>
      </c>
      <c r="O110" s="29">
        <v>163000</v>
      </c>
      <c r="P110" s="29">
        <v>163000</v>
      </c>
      <c r="Q110" s="29">
        <v>163000</v>
      </c>
      <c r="R110" s="29"/>
      <c r="S110" s="29"/>
      <c r="T110" s="29">
        <v>163000</v>
      </c>
      <c r="U110" s="29">
        <v>163000</v>
      </c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30"/>
      <c r="AL110" s="29"/>
      <c r="AM110" s="29"/>
      <c r="AN110" s="29"/>
      <c r="AO110" s="29"/>
    </row>
    <row r="111" spans="1:41" ht="15.75" customHeight="1" x14ac:dyDescent="0.6">
      <c r="A111" s="29" t="s">
        <v>54</v>
      </c>
      <c r="B111" s="29" t="s">
        <v>59</v>
      </c>
      <c r="C111" s="29" t="s">
        <v>57</v>
      </c>
      <c r="D111" s="29" t="s">
        <v>52</v>
      </c>
      <c r="E111" s="29"/>
      <c r="F111" s="29">
        <v>156000</v>
      </c>
      <c r="G111" s="29">
        <v>156000</v>
      </c>
      <c r="H111" s="29">
        <v>156000</v>
      </c>
      <c r="I111" s="29">
        <v>156000</v>
      </c>
      <c r="J111" s="29">
        <v>156000</v>
      </c>
      <c r="K111" s="29"/>
      <c r="L111" s="29"/>
      <c r="M111" s="29">
        <v>156000</v>
      </c>
      <c r="N111" s="29">
        <v>156000</v>
      </c>
      <c r="O111" s="29">
        <v>163000</v>
      </c>
      <c r="P111" s="29">
        <v>163000</v>
      </c>
      <c r="Q111" s="29">
        <v>163000</v>
      </c>
      <c r="R111" s="29"/>
      <c r="S111" s="29"/>
      <c r="T111" s="29">
        <v>163000</v>
      </c>
      <c r="U111" s="29">
        <v>163000</v>
      </c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30"/>
      <c r="AL111" s="29"/>
      <c r="AM111" s="29"/>
      <c r="AN111" s="29"/>
      <c r="AO111" s="29"/>
    </row>
    <row r="112" spans="1:41" ht="15.75" customHeight="1" x14ac:dyDescent="0.6">
      <c r="A112" s="27" t="s">
        <v>54</v>
      </c>
      <c r="B112" s="27" t="s">
        <v>60</v>
      </c>
      <c r="C112" s="27" t="s">
        <v>56</v>
      </c>
      <c r="D112" s="27" t="s">
        <v>33</v>
      </c>
      <c r="E112" s="27"/>
      <c r="F112" s="27">
        <v>32950</v>
      </c>
      <c r="G112" s="27"/>
      <c r="H112" s="27">
        <v>32800</v>
      </c>
      <c r="I112" s="27"/>
      <c r="J112" s="27"/>
      <c r="K112" s="27"/>
      <c r="L112" s="27"/>
      <c r="M112" s="27">
        <v>32550</v>
      </c>
      <c r="N112" s="27">
        <v>33150</v>
      </c>
      <c r="O112" s="27">
        <v>33200</v>
      </c>
      <c r="P112" s="27">
        <v>33200</v>
      </c>
      <c r="Q112" s="27">
        <v>34450</v>
      </c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8"/>
      <c r="AL112" s="27"/>
      <c r="AM112" s="27"/>
      <c r="AN112" s="27"/>
      <c r="AO112" s="27"/>
    </row>
    <row r="113" spans="1:41" ht="15.75" customHeight="1" x14ac:dyDescent="0.6">
      <c r="A113" s="27" t="s">
        <v>54</v>
      </c>
      <c r="B113" s="27" t="s">
        <v>60</v>
      </c>
      <c r="C113" s="27" t="s">
        <v>56</v>
      </c>
      <c r="D113" s="27" t="s">
        <v>38</v>
      </c>
      <c r="E113" s="27"/>
      <c r="F113" s="27">
        <v>35200</v>
      </c>
      <c r="G113" s="27"/>
      <c r="H113" s="27">
        <v>35200</v>
      </c>
      <c r="I113" s="27"/>
      <c r="J113" s="27"/>
      <c r="K113" s="27"/>
      <c r="L113" s="27"/>
      <c r="M113" s="27">
        <v>35200</v>
      </c>
      <c r="N113" s="27">
        <v>35200</v>
      </c>
      <c r="O113" s="27">
        <v>35200</v>
      </c>
      <c r="P113" s="27">
        <v>35200</v>
      </c>
      <c r="Q113" s="27">
        <v>35200</v>
      </c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8"/>
      <c r="AL113" s="27"/>
      <c r="AM113" s="27"/>
      <c r="AN113" s="27"/>
      <c r="AO113" s="27"/>
    </row>
    <row r="114" spans="1:41" ht="15.75" customHeight="1" x14ac:dyDescent="0.6">
      <c r="A114" s="27" t="s">
        <v>54</v>
      </c>
      <c r="B114" s="27" t="s">
        <v>60</v>
      </c>
      <c r="C114" s="27" t="s">
        <v>56</v>
      </c>
      <c r="D114" s="27" t="s">
        <v>51</v>
      </c>
      <c r="E114" s="27"/>
      <c r="F114" s="27">
        <v>33700</v>
      </c>
      <c r="G114" s="27"/>
      <c r="H114" s="27">
        <v>33700</v>
      </c>
      <c r="I114" s="27"/>
      <c r="J114" s="27"/>
      <c r="K114" s="27"/>
      <c r="L114" s="27"/>
      <c r="M114" s="27">
        <v>33700</v>
      </c>
      <c r="N114" s="27">
        <v>33700</v>
      </c>
      <c r="O114" s="27">
        <v>33700</v>
      </c>
      <c r="P114" s="27">
        <v>33700</v>
      </c>
      <c r="Q114" s="27">
        <v>33700</v>
      </c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8"/>
      <c r="AL114" s="27"/>
      <c r="AM114" s="27"/>
      <c r="AN114" s="27"/>
      <c r="AO114" s="27"/>
    </row>
    <row r="115" spans="1:41" ht="15.75" customHeight="1" x14ac:dyDescent="0.6">
      <c r="A115" s="27" t="s">
        <v>54</v>
      </c>
      <c r="B115" s="27" t="s">
        <v>60</v>
      </c>
      <c r="C115" s="27" t="s">
        <v>56</v>
      </c>
      <c r="D115" s="27" t="s">
        <v>52</v>
      </c>
      <c r="E115" s="27"/>
      <c r="F115" s="27">
        <v>30000</v>
      </c>
      <c r="G115" s="27"/>
      <c r="H115" s="27">
        <v>29500</v>
      </c>
      <c r="I115" s="27"/>
      <c r="J115" s="27"/>
      <c r="K115" s="27"/>
      <c r="L115" s="27"/>
      <c r="M115" s="27">
        <v>28750</v>
      </c>
      <c r="N115" s="27">
        <v>30500</v>
      </c>
      <c r="O115" s="27">
        <v>30750</v>
      </c>
      <c r="P115" s="27">
        <v>30750</v>
      </c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8"/>
      <c r="AL115" s="27"/>
      <c r="AM115" s="27"/>
      <c r="AN115" s="27"/>
      <c r="AO115" s="27"/>
    </row>
    <row r="116" spans="1:41" ht="15.75" customHeight="1" x14ac:dyDescent="0.6">
      <c r="A116" s="29" t="s">
        <v>54</v>
      </c>
      <c r="B116" s="27" t="s">
        <v>60</v>
      </c>
      <c r="C116" s="29" t="s">
        <v>57</v>
      </c>
      <c r="D116" s="29" t="s">
        <v>33</v>
      </c>
      <c r="E116" s="29"/>
      <c r="F116" s="29">
        <v>34500</v>
      </c>
      <c r="G116" s="29">
        <v>34500</v>
      </c>
      <c r="H116" s="29">
        <v>34500</v>
      </c>
      <c r="I116" s="29">
        <v>34500</v>
      </c>
      <c r="J116" s="29">
        <v>34500</v>
      </c>
      <c r="K116" s="29"/>
      <c r="L116" s="29"/>
      <c r="M116" s="29">
        <v>34500</v>
      </c>
      <c r="N116" s="29">
        <v>34500</v>
      </c>
      <c r="O116" s="29">
        <v>33900</v>
      </c>
      <c r="P116" s="29">
        <v>33900</v>
      </c>
      <c r="Q116" s="29">
        <v>33900</v>
      </c>
      <c r="R116" s="29"/>
      <c r="S116" s="29"/>
      <c r="T116" s="29">
        <v>33900</v>
      </c>
      <c r="U116" s="29">
        <v>33900</v>
      </c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30"/>
      <c r="AL116" s="29"/>
      <c r="AM116" s="29"/>
      <c r="AN116" s="29"/>
      <c r="AO116" s="29"/>
    </row>
    <row r="117" spans="1:41" ht="15.75" customHeight="1" x14ac:dyDescent="0.6">
      <c r="A117" s="29" t="s">
        <v>54</v>
      </c>
      <c r="B117" s="29" t="s">
        <v>60</v>
      </c>
      <c r="C117" s="29" t="s">
        <v>57</v>
      </c>
      <c r="D117" s="29" t="s">
        <v>52</v>
      </c>
      <c r="E117" s="29"/>
      <c r="F117" s="29">
        <v>34500</v>
      </c>
      <c r="G117" s="29">
        <v>34500</v>
      </c>
      <c r="H117" s="29">
        <v>34500</v>
      </c>
      <c r="I117" s="29">
        <v>34500</v>
      </c>
      <c r="J117" s="29">
        <v>34500</v>
      </c>
      <c r="K117" s="29"/>
      <c r="L117" s="29"/>
      <c r="M117" s="29">
        <v>34500</v>
      </c>
      <c r="N117" s="29">
        <v>34500</v>
      </c>
      <c r="O117" s="29">
        <v>33900</v>
      </c>
      <c r="P117" s="29">
        <v>33900</v>
      </c>
      <c r="Q117" s="29">
        <v>33900</v>
      </c>
      <c r="R117" s="29"/>
      <c r="S117" s="29"/>
      <c r="T117" s="29">
        <v>33900</v>
      </c>
      <c r="U117" s="29">
        <v>33900</v>
      </c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30"/>
      <c r="AL117" s="29"/>
      <c r="AM117" s="29"/>
      <c r="AN117" s="29"/>
      <c r="AO117" s="29"/>
    </row>
    <row r="118" spans="1:41" ht="15.75" customHeight="1" x14ac:dyDescent="0.6">
      <c r="A118" s="25" t="s">
        <v>61</v>
      </c>
      <c r="B118" s="25" t="s">
        <v>62</v>
      </c>
      <c r="C118" s="25" t="s">
        <v>63</v>
      </c>
      <c r="D118" s="25" t="s">
        <v>51</v>
      </c>
      <c r="E118" s="25"/>
      <c r="F118" s="25">
        <v>50000</v>
      </c>
      <c r="G118" s="25">
        <v>50000</v>
      </c>
      <c r="H118" s="25"/>
      <c r="I118" s="25">
        <v>50000</v>
      </c>
      <c r="J118" s="25">
        <v>50000</v>
      </c>
      <c r="K118" s="31"/>
      <c r="L118" s="25"/>
      <c r="M118" s="31"/>
      <c r="N118" s="25"/>
      <c r="O118" s="25">
        <v>50000</v>
      </c>
      <c r="P118" s="25">
        <v>50000</v>
      </c>
      <c r="Q118" s="25">
        <v>50000</v>
      </c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6"/>
      <c r="AL118" s="25"/>
      <c r="AM118" s="25"/>
      <c r="AN118" s="25"/>
      <c r="AO118" s="25"/>
    </row>
    <row r="119" spans="1:41" ht="15.75" customHeight="1" x14ac:dyDescent="0.6">
      <c r="A119" s="25" t="s">
        <v>61</v>
      </c>
      <c r="B119" s="25" t="s">
        <v>62</v>
      </c>
      <c r="C119" s="25" t="s">
        <v>64</v>
      </c>
      <c r="D119" s="25" t="s">
        <v>51</v>
      </c>
      <c r="E119" s="25"/>
      <c r="F119" s="25">
        <v>50000</v>
      </c>
      <c r="G119" s="25">
        <v>50000</v>
      </c>
      <c r="H119" s="25"/>
      <c r="I119" s="25">
        <v>50000</v>
      </c>
      <c r="J119" s="25">
        <v>50000</v>
      </c>
      <c r="K119" s="31"/>
      <c r="L119" s="25"/>
      <c r="M119" s="31"/>
      <c r="N119" s="25"/>
      <c r="O119" s="25">
        <v>50000</v>
      </c>
      <c r="P119" s="25">
        <v>50000</v>
      </c>
      <c r="Q119" s="25">
        <v>50000</v>
      </c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6"/>
      <c r="AL119" s="25"/>
      <c r="AM119" s="25"/>
      <c r="AN119" s="25"/>
      <c r="AO119" s="25"/>
    </row>
    <row r="120" spans="1:41" ht="15.75" customHeight="1" x14ac:dyDescent="0.6">
      <c r="A120" s="25" t="s">
        <v>61</v>
      </c>
      <c r="B120" s="25" t="s">
        <v>65</v>
      </c>
      <c r="C120" s="25" t="s">
        <v>63</v>
      </c>
      <c r="D120" s="25" t="s">
        <v>51</v>
      </c>
      <c r="E120" s="25"/>
      <c r="F120" s="25">
        <v>60000</v>
      </c>
      <c r="G120" s="25">
        <v>60000</v>
      </c>
      <c r="H120" s="25"/>
      <c r="I120" s="25">
        <v>60000</v>
      </c>
      <c r="J120" s="25">
        <v>60000</v>
      </c>
      <c r="K120" s="31"/>
      <c r="L120" s="25"/>
      <c r="M120" s="31"/>
      <c r="N120" s="25"/>
      <c r="O120" s="25">
        <v>60000</v>
      </c>
      <c r="P120" s="25">
        <v>60000</v>
      </c>
      <c r="Q120" s="25">
        <v>60000</v>
      </c>
      <c r="R120" s="25"/>
      <c r="S120" s="31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6"/>
      <c r="AL120" s="25"/>
      <c r="AM120" s="25"/>
      <c r="AN120" s="25"/>
      <c r="AO120" s="25"/>
    </row>
    <row r="121" spans="1:41" ht="15.75" customHeight="1" x14ac:dyDescent="0.6">
      <c r="A121" s="25" t="s">
        <v>61</v>
      </c>
      <c r="B121" s="25" t="s">
        <v>65</v>
      </c>
      <c r="C121" s="25" t="s">
        <v>64</v>
      </c>
      <c r="D121" s="25" t="s">
        <v>51</v>
      </c>
      <c r="E121" s="25"/>
      <c r="F121" s="25">
        <v>62000</v>
      </c>
      <c r="G121" s="25">
        <v>62000</v>
      </c>
      <c r="H121" s="25"/>
      <c r="I121" s="25">
        <v>62000</v>
      </c>
      <c r="J121" s="25">
        <v>62000</v>
      </c>
      <c r="K121" s="31"/>
      <c r="L121" s="25"/>
      <c r="M121" s="31"/>
      <c r="N121" s="25"/>
      <c r="O121" s="25">
        <v>62000</v>
      </c>
      <c r="P121" s="25">
        <v>62000</v>
      </c>
      <c r="Q121" s="25">
        <v>62000</v>
      </c>
      <c r="R121" s="25"/>
      <c r="S121" s="31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6"/>
      <c r="AL121" s="25"/>
      <c r="AM121" s="25"/>
      <c r="AN121" s="25"/>
      <c r="AO121" s="25"/>
    </row>
    <row r="122" spans="1:41" ht="15.75" customHeight="1" x14ac:dyDescent="0.6">
      <c r="A122" s="25" t="s">
        <v>61</v>
      </c>
      <c r="B122" s="25" t="s">
        <v>66</v>
      </c>
      <c r="C122" s="25" t="s">
        <v>63</v>
      </c>
      <c r="D122" s="25" t="s">
        <v>51</v>
      </c>
      <c r="E122" s="25"/>
      <c r="F122" s="25">
        <v>140000</v>
      </c>
      <c r="G122" s="25">
        <v>140000</v>
      </c>
      <c r="H122" s="25"/>
      <c r="I122" s="25">
        <v>140000</v>
      </c>
      <c r="J122" s="25">
        <v>140000</v>
      </c>
      <c r="K122" s="31"/>
      <c r="L122" s="25"/>
      <c r="M122" s="31"/>
      <c r="N122" s="31"/>
      <c r="O122" s="25">
        <v>140000</v>
      </c>
      <c r="P122" s="25">
        <v>150000</v>
      </c>
      <c r="Q122" s="25">
        <v>150000</v>
      </c>
      <c r="R122" s="25"/>
      <c r="S122" s="31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6"/>
      <c r="AL122" s="25"/>
      <c r="AM122" s="25"/>
      <c r="AN122" s="25"/>
      <c r="AO122" s="25"/>
    </row>
    <row r="123" spans="1:41" ht="15.75" customHeight="1" x14ac:dyDescent="0.6">
      <c r="A123" s="25" t="s">
        <v>61</v>
      </c>
      <c r="B123" s="25" t="s">
        <v>66</v>
      </c>
      <c r="C123" s="25" t="s">
        <v>64</v>
      </c>
      <c r="D123" s="25" t="s">
        <v>51</v>
      </c>
      <c r="E123" s="25"/>
      <c r="F123" s="25">
        <v>140000</v>
      </c>
      <c r="G123" s="25">
        <v>140000</v>
      </c>
      <c r="H123" s="25"/>
      <c r="I123" s="25">
        <v>140000</v>
      </c>
      <c r="J123" s="25">
        <v>140000</v>
      </c>
      <c r="K123" s="31"/>
      <c r="L123" s="25"/>
      <c r="M123" s="31"/>
      <c r="N123" s="31"/>
      <c r="O123" s="25">
        <v>140000</v>
      </c>
      <c r="P123" s="25">
        <v>150000</v>
      </c>
      <c r="Q123" s="25">
        <v>150000</v>
      </c>
      <c r="R123" s="25"/>
      <c r="S123" s="31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6"/>
      <c r="AL123" s="25"/>
      <c r="AM123" s="25"/>
      <c r="AN123" s="25"/>
      <c r="AO123" s="25"/>
    </row>
    <row r="124" spans="1:41" ht="15.75" customHeight="1" x14ac:dyDescent="0.6">
      <c r="A124" s="25" t="s">
        <v>61</v>
      </c>
      <c r="B124" s="25" t="s">
        <v>3</v>
      </c>
      <c r="C124" s="25" t="s">
        <v>63</v>
      </c>
      <c r="D124" s="25" t="s">
        <v>51</v>
      </c>
      <c r="E124" s="25"/>
      <c r="F124" s="25">
        <v>150000</v>
      </c>
      <c r="G124" s="25">
        <v>150000</v>
      </c>
      <c r="H124" s="25"/>
      <c r="I124" s="25">
        <v>150000</v>
      </c>
      <c r="J124" s="25">
        <v>150000</v>
      </c>
      <c r="K124" s="31"/>
      <c r="L124" s="25"/>
      <c r="M124" s="31"/>
      <c r="N124" s="25"/>
      <c r="O124" s="25">
        <v>150000</v>
      </c>
      <c r="P124" s="25">
        <v>150000</v>
      </c>
      <c r="Q124" s="25">
        <v>150000</v>
      </c>
      <c r="R124" s="25"/>
      <c r="S124" s="31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6"/>
      <c r="AL124" s="25"/>
      <c r="AM124" s="25"/>
      <c r="AN124" s="25"/>
      <c r="AO124" s="25"/>
    </row>
    <row r="125" spans="1:41" ht="15.75" customHeight="1" x14ac:dyDescent="0.6">
      <c r="A125" s="25" t="s">
        <v>61</v>
      </c>
      <c r="B125" s="25" t="s">
        <v>3</v>
      </c>
      <c r="C125" s="25" t="s">
        <v>64</v>
      </c>
      <c r="D125" s="25" t="s">
        <v>51</v>
      </c>
      <c r="E125" s="25"/>
      <c r="F125" s="25">
        <v>160000</v>
      </c>
      <c r="G125" s="25">
        <v>160000</v>
      </c>
      <c r="H125" s="25"/>
      <c r="I125" s="25">
        <v>160000</v>
      </c>
      <c r="J125" s="25">
        <v>160000</v>
      </c>
      <c r="K125" s="31"/>
      <c r="L125" s="25"/>
      <c r="M125" s="31"/>
      <c r="N125" s="25"/>
      <c r="O125" s="25">
        <v>160000</v>
      </c>
      <c r="P125" s="25">
        <v>160000</v>
      </c>
      <c r="Q125" s="25">
        <v>160000</v>
      </c>
      <c r="R125" s="25"/>
      <c r="S125" s="31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6"/>
      <c r="AL125" s="25"/>
      <c r="AM125" s="25"/>
      <c r="AN125" s="25"/>
      <c r="AO125" s="25"/>
    </row>
    <row r="126" spans="1:41" ht="15.75" customHeight="1" x14ac:dyDescent="0.6">
      <c r="A126" s="25" t="s">
        <v>61</v>
      </c>
      <c r="B126" s="25" t="s">
        <v>67</v>
      </c>
      <c r="C126" s="25" t="s">
        <v>63</v>
      </c>
      <c r="D126" s="25" t="s">
        <v>51</v>
      </c>
      <c r="E126" s="25"/>
      <c r="F126" s="25">
        <v>2300</v>
      </c>
      <c r="G126" s="25">
        <v>2300</v>
      </c>
      <c r="H126" s="25"/>
      <c r="I126" s="25">
        <v>2300</v>
      </c>
      <c r="J126" s="25">
        <v>2300</v>
      </c>
      <c r="K126" s="31"/>
      <c r="L126" s="25"/>
      <c r="M126" s="31"/>
      <c r="N126" s="25"/>
      <c r="O126" s="25">
        <v>2300</v>
      </c>
      <c r="P126" s="25">
        <v>2300</v>
      </c>
      <c r="Q126" s="25">
        <v>2300</v>
      </c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6"/>
      <c r="AL126" s="25"/>
      <c r="AM126" s="25"/>
      <c r="AN126" s="25"/>
      <c r="AO126" s="25"/>
    </row>
    <row r="127" spans="1:41" ht="15.75" customHeight="1" x14ac:dyDescent="0.6">
      <c r="A127" s="25" t="s">
        <v>61</v>
      </c>
      <c r="B127" s="25" t="s">
        <v>67</v>
      </c>
      <c r="C127" s="25" t="s">
        <v>64</v>
      </c>
      <c r="D127" s="25" t="s">
        <v>51</v>
      </c>
      <c r="E127" s="25"/>
      <c r="F127" s="25">
        <v>2300</v>
      </c>
      <c r="G127" s="25">
        <v>2300</v>
      </c>
      <c r="H127" s="25"/>
      <c r="I127" s="25">
        <v>2300</v>
      </c>
      <c r="J127" s="25">
        <v>2300</v>
      </c>
      <c r="K127" s="31"/>
      <c r="L127" s="25"/>
      <c r="M127" s="31"/>
      <c r="N127" s="25"/>
      <c r="O127" s="25">
        <v>2300</v>
      </c>
      <c r="P127" s="25">
        <v>2300</v>
      </c>
      <c r="Q127" s="25">
        <v>2300</v>
      </c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6"/>
      <c r="AL127" s="25"/>
      <c r="AM127" s="25"/>
      <c r="AN127" s="25"/>
      <c r="AO127" s="25"/>
    </row>
    <row r="128" spans="1:41" ht="15.75" customHeight="1" x14ac:dyDescent="0.6">
      <c r="A128" s="25" t="s">
        <v>61</v>
      </c>
      <c r="B128" s="25" t="s">
        <v>68</v>
      </c>
      <c r="C128" s="25" t="s">
        <v>63</v>
      </c>
      <c r="D128" s="25" t="s">
        <v>51</v>
      </c>
      <c r="E128" s="25"/>
      <c r="F128" s="25">
        <v>1500</v>
      </c>
      <c r="G128" s="25">
        <v>1600</v>
      </c>
      <c r="H128" s="25"/>
      <c r="I128" s="25">
        <v>1600</v>
      </c>
      <c r="J128" s="25">
        <v>1600</v>
      </c>
      <c r="K128" s="31"/>
      <c r="L128" s="25"/>
      <c r="M128" s="31"/>
      <c r="N128" s="25"/>
      <c r="O128" s="25">
        <v>1600</v>
      </c>
      <c r="P128" s="25">
        <v>1600</v>
      </c>
      <c r="Q128" s="25">
        <v>1600</v>
      </c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6"/>
      <c r="AL128" s="25"/>
      <c r="AM128" s="25"/>
      <c r="AN128" s="25"/>
      <c r="AO128" s="25"/>
    </row>
    <row r="129" spans="1:41" ht="15.75" customHeight="1" x14ac:dyDescent="0.6">
      <c r="A129" s="25" t="s">
        <v>61</v>
      </c>
      <c r="B129" s="25" t="s">
        <v>68</v>
      </c>
      <c r="C129" s="25" t="s">
        <v>64</v>
      </c>
      <c r="D129" s="25" t="s">
        <v>51</v>
      </c>
      <c r="E129" s="25"/>
      <c r="F129" s="25">
        <v>1500</v>
      </c>
      <c r="G129" s="25">
        <v>1500</v>
      </c>
      <c r="H129" s="25"/>
      <c r="I129" s="25">
        <v>1500</v>
      </c>
      <c r="J129" s="25">
        <v>1600</v>
      </c>
      <c r="K129" s="31"/>
      <c r="L129" s="25"/>
      <c r="M129" s="31"/>
      <c r="N129" s="25"/>
      <c r="O129" s="25">
        <v>1500</v>
      </c>
      <c r="P129" s="25">
        <v>1500</v>
      </c>
      <c r="Q129" s="25">
        <v>1500</v>
      </c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6"/>
      <c r="AL129" s="25"/>
      <c r="AM129" s="25"/>
      <c r="AN129" s="25"/>
      <c r="AO129" s="25"/>
    </row>
    <row r="130" spans="1:41" ht="15.75" customHeight="1" x14ac:dyDescent="0.6">
      <c r="A130" s="25" t="s">
        <v>61</v>
      </c>
      <c r="B130" s="25" t="s">
        <v>69</v>
      </c>
      <c r="C130" s="25" t="s">
        <v>63</v>
      </c>
      <c r="D130" s="25" t="s">
        <v>51</v>
      </c>
      <c r="E130" s="25"/>
      <c r="F130" s="25">
        <v>30400</v>
      </c>
      <c r="G130" s="25">
        <v>31200</v>
      </c>
      <c r="H130" s="25"/>
      <c r="I130" s="25">
        <v>31200</v>
      </c>
      <c r="J130" s="25">
        <v>31200</v>
      </c>
      <c r="K130" s="31"/>
      <c r="L130" s="25"/>
      <c r="M130" s="31"/>
      <c r="N130" s="25"/>
      <c r="O130" s="25">
        <v>31200</v>
      </c>
      <c r="P130" s="25">
        <v>31200</v>
      </c>
      <c r="Q130" s="25">
        <v>31200</v>
      </c>
      <c r="R130" s="25"/>
      <c r="S130" s="31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6"/>
      <c r="AL130" s="25"/>
      <c r="AM130" s="25"/>
      <c r="AN130" s="25"/>
      <c r="AO130" s="25"/>
    </row>
    <row r="131" spans="1:41" ht="15.75" customHeight="1" x14ac:dyDescent="0.6">
      <c r="A131" s="25" t="s">
        <v>61</v>
      </c>
      <c r="B131" s="25" t="s">
        <v>69</v>
      </c>
      <c r="C131" s="25" t="s">
        <v>64</v>
      </c>
      <c r="D131" s="25" t="s">
        <v>51</v>
      </c>
      <c r="E131" s="25"/>
      <c r="F131" s="25">
        <v>30400</v>
      </c>
      <c r="G131" s="25">
        <v>30400</v>
      </c>
      <c r="H131" s="25"/>
      <c r="I131" s="25">
        <v>30400</v>
      </c>
      <c r="J131" s="25">
        <v>31200</v>
      </c>
      <c r="K131" s="31"/>
      <c r="L131" s="25"/>
      <c r="M131" s="31"/>
      <c r="N131" s="25"/>
      <c r="O131" s="25">
        <v>30400</v>
      </c>
      <c r="P131" s="25">
        <v>30400</v>
      </c>
      <c r="Q131" s="25">
        <v>30400</v>
      </c>
      <c r="R131" s="25"/>
      <c r="S131" s="31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6"/>
      <c r="AL131" s="25"/>
      <c r="AM131" s="25"/>
      <c r="AN131" s="25"/>
      <c r="AO131" s="25"/>
    </row>
    <row r="132" spans="1:41" ht="15.75" customHeight="1" x14ac:dyDescent="0.6">
      <c r="A132" s="25" t="s">
        <v>61</v>
      </c>
      <c r="B132" s="25" t="s">
        <v>70</v>
      </c>
      <c r="C132" s="25" t="s">
        <v>63</v>
      </c>
      <c r="D132" s="25" t="s">
        <v>51</v>
      </c>
      <c r="E132" s="25"/>
      <c r="F132" s="25">
        <v>3300</v>
      </c>
      <c r="G132" s="25">
        <v>3300</v>
      </c>
      <c r="H132" s="25"/>
      <c r="I132" s="25">
        <v>3300</v>
      </c>
      <c r="J132" s="25">
        <v>3300</v>
      </c>
      <c r="K132" s="31"/>
      <c r="L132" s="25"/>
      <c r="M132" s="31"/>
      <c r="N132" s="25"/>
      <c r="O132" s="25">
        <v>3200</v>
      </c>
      <c r="P132" s="25">
        <v>3200</v>
      </c>
      <c r="Q132" s="25">
        <v>3200</v>
      </c>
      <c r="R132" s="25"/>
      <c r="S132" s="31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6"/>
      <c r="AL132" s="25"/>
      <c r="AM132" s="25"/>
      <c r="AN132" s="25"/>
      <c r="AO132" s="25"/>
    </row>
    <row r="133" spans="1:41" ht="15.75" customHeight="1" x14ac:dyDescent="0.6">
      <c r="A133" s="25" t="s">
        <v>61</v>
      </c>
      <c r="B133" s="25" t="s">
        <v>70</v>
      </c>
      <c r="C133" s="25" t="s">
        <v>64</v>
      </c>
      <c r="D133" s="25" t="s">
        <v>51</v>
      </c>
      <c r="E133" s="25"/>
      <c r="F133" s="25">
        <v>3500</v>
      </c>
      <c r="G133" s="25">
        <v>3500</v>
      </c>
      <c r="H133" s="25"/>
      <c r="I133" s="25">
        <v>3500</v>
      </c>
      <c r="J133" s="25">
        <v>3500</v>
      </c>
      <c r="K133" s="31"/>
      <c r="L133" s="25"/>
      <c r="M133" s="31"/>
      <c r="N133" s="25"/>
      <c r="O133" s="25">
        <v>3000</v>
      </c>
      <c r="P133" s="25">
        <v>3000</v>
      </c>
      <c r="Q133" s="25">
        <v>3000</v>
      </c>
      <c r="R133" s="25"/>
      <c r="S133" s="31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6"/>
      <c r="AL133" s="25"/>
      <c r="AM133" s="25"/>
      <c r="AN133" s="25"/>
      <c r="AO133" s="25"/>
    </row>
    <row r="134" spans="1:41" ht="15.75" customHeight="1" x14ac:dyDescent="0.6">
      <c r="A134" s="25" t="s">
        <v>61</v>
      </c>
      <c r="B134" s="25" t="s">
        <v>71</v>
      </c>
      <c r="C134" s="25" t="s">
        <v>63</v>
      </c>
      <c r="D134" s="25" t="s">
        <v>51</v>
      </c>
      <c r="E134" s="25"/>
      <c r="F134" s="25">
        <v>3500</v>
      </c>
      <c r="G134" s="25">
        <v>3500</v>
      </c>
      <c r="H134" s="25"/>
      <c r="I134" s="25">
        <v>3500</v>
      </c>
      <c r="J134" s="25">
        <v>3500</v>
      </c>
      <c r="K134" s="31"/>
      <c r="L134" s="25"/>
      <c r="M134" s="31"/>
      <c r="N134" s="25"/>
      <c r="O134" s="25">
        <v>3400</v>
      </c>
      <c r="P134" s="25">
        <v>3400</v>
      </c>
      <c r="Q134" s="25">
        <v>3400</v>
      </c>
      <c r="R134" s="25"/>
      <c r="S134" s="31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6"/>
      <c r="AL134" s="25"/>
      <c r="AM134" s="25"/>
      <c r="AN134" s="25"/>
      <c r="AO134" s="25"/>
    </row>
    <row r="135" spans="1:41" ht="15.75" customHeight="1" x14ac:dyDescent="0.6">
      <c r="A135" s="25" t="s">
        <v>61</v>
      </c>
      <c r="B135" s="25" t="s">
        <v>71</v>
      </c>
      <c r="C135" s="25" t="s">
        <v>64</v>
      </c>
      <c r="D135" s="25" t="s">
        <v>51</v>
      </c>
      <c r="E135" s="25"/>
      <c r="F135" s="25">
        <v>3500</v>
      </c>
      <c r="G135" s="25">
        <v>3500</v>
      </c>
      <c r="H135" s="25"/>
      <c r="I135" s="25">
        <v>3500</v>
      </c>
      <c r="J135" s="25">
        <v>4000</v>
      </c>
      <c r="K135" s="31"/>
      <c r="L135" s="25"/>
      <c r="M135" s="31"/>
      <c r="N135" s="25"/>
      <c r="O135" s="25">
        <v>4000</v>
      </c>
      <c r="P135" s="25">
        <v>4000</v>
      </c>
      <c r="Q135" s="25">
        <v>4000</v>
      </c>
      <c r="R135" s="25"/>
      <c r="S135" s="31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6"/>
      <c r="AL135" s="25"/>
      <c r="AM135" s="25"/>
      <c r="AN135" s="25"/>
      <c r="AO135" s="25"/>
    </row>
    <row r="136" spans="1:41" ht="15.75" customHeight="1" x14ac:dyDescent="0.6">
      <c r="A136" s="25"/>
      <c r="B136" s="25"/>
      <c r="C136" s="25"/>
      <c r="D136" s="25"/>
      <c r="E136" s="25"/>
      <c r="F136" s="25"/>
      <c r="G136" s="25"/>
      <c r="H136" s="25"/>
      <c r="I136" s="25"/>
      <c r="J136" s="31"/>
      <c r="K136" s="31"/>
      <c r="L136" s="25"/>
      <c r="M136" s="31"/>
      <c r="N136" s="25"/>
      <c r="O136" s="25"/>
      <c r="P136" s="25"/>
      <c r="Q136" s="25"/>
      <c r="R136" s="25"/>
      <c r="S136" s="32"/>
      <c r="T136" s="33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6"/>
      <c r="AL136" s="25"/>
      <c r="AM136" s="25"/>
      <c r="AN136" s="25"/>
      <c r="AO136" s="25"/>
    </row>
    <row r="137" spans="1:41" ht="15.75" customHeight="1" x14ac:dyDescent="0.6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33"/>
      <c r="T137" s="33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6"/>
      <c r="AL137" s="25"/>
      <c r="AM137" s="25"/>
      <c r="AN137" s="25"/>
      <c r="AO137" s="25"/>
    </row>
    <row r="138" spans="1:41" ht="15.75" customHeight="1" x14ac:dyDescent="0.6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33"/>
      <c r="T138" s="33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6"/>
      <c r="AL138" s="25"/>
      <c r="AM138" s="25"/>
      <c r="AN138" s="25"/>
      <c r="AO138" s="25"/>
    </row>
    <row r="139" spans="1:41" ht="15.75" customHeight="1" x14ac:dyDescent="0.6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33"/>
      <c r="T139" s="33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6"/>
      <c r="AL139" s="25"/>
      <c r="AM139" s="25"/>
      <c r="AN139" s="25"/>
      <c r="AO139" s="25"/>
    </row>
    <row r="140" spans="1:41" ht="15.75" customHeight="1" x14ac:dyDescent="0.6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33"/>
      <c r="T140" s="3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6"/>
      <c r="AL140" s="25"/>
      <c r="AM140" s="25"/>
      <c r="AN140" s="25"/>
      <c r="AO140" s="25"/>
    </row>
    <row r="141" spans="1:41" ht="15.75" customHeight="1" x14ac:dyDescent="0.6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33"/>
      <c r="T141" s="33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6"/>
      <c r="AL141" s="25"/>
      <c r="AM141" s="25"/>
      <c r="AN141" s="25"/>
      <c r="AO141" s="25"/>
    </row>
    <row r="142" spans="1:41" ht="15.75" customHeight="1" x14ac:dyDescent="0.6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33"/>
      <c r="T142" s="33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6"/>
      <c r="AL142" s="25"/>
      <c r="AM142" s="25"/>
      <c r="AN142" s="25"/>
      <c r="AO142" s="25"/>
    </row>
    <row r="143" spans="1:41" ht="15.75" customHeight="1" x14ac:dyDescent="0.6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33"/>
      <c r="T143" s="33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6"/>
      <c r="AL143" s="25"/>
      <c r="AM143" s="25"/>
      <c r="AN143" s="25"/>
      <c r="AO143" s="25"/>
    </row>
    <row r="144" spans="1:41" ht="15.75" customHeight="1" x14ac:dyDescent="0.6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4"/>
      <c r="AL144" s="33"/>
      <c r="AM144" s="33"/>
      <c r="AN144" s="33"/>
      <c r="AO144" s="33"/>
    </row>
    <row r="145" spans="1:41" ht="15.75" customHeight="1" x14ac:dyDescent="0.6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4"/>
      <c r="AL145" s="33"/>
      <c r="AM145" s="33"/>
      <c r="AN145" s="33"/>
      <c r="AO145" s="33"/>
    </row>
    <row r="146" spans="1:41" ht="15.75" customHeight="1" x14ac:dyDescent="0.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4"/>
      <c r="AL146" s="33"/>
      <c r="AM146" s="33"/>
      <c r="AN146" s="33"/>
      <c r="AO146" s="33"/>
    </row>
    <row r="147" spans="1:41" ht="15.75" customHeight="1" x14ac:dyDescent="0.6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4"/>
      <c r="AL147" s="33"/>
      <c r="AM147" s="33"/>
      <c r="AN147" s="33"/>
      <c r="AO147" s="33"/>
    </row>
    <row r="148" spans="1:41" ht="15.75" customHeight="1" x14ac:dyDescent="0.6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4"/>
      <c r="AL148" s="33"/>
      <c r="AM148" s="33"/>
      <c r="AN148" s="33"/>
      <c r="AO148" s="33"/>
    </row>
    <row r="149" spans="1:41" ht="15.75" customHeight="1" x14ac:dyDescent="0.6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4"/>
      <c r="AL149" s="33"/>
      <c r="AM149" s="33"/>
      <c r="AN149" s="33"/>
      <c r="AO149" s="33"/>
    </row>
    <row r="150" spans="1:41" ht="15.75" customHeight="1" x14ac:dyDescent="0.6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4"/>
      <c r="AL150" s="33"/>
      <c r="AM150" s="33"/>
      <c r="AN150" s="33"/>
      <c r="AO150" s="33"/>
    </row>
    <row r="151" spans="1:41" ht="15.75" customHeight="1" x14ac:dyDescent="0.6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4"/>
      <c r="AL151" s="33"/>
      <c r="AM151" s="33"/>
      <c r="AN151" s="33"/>
      <c r="AO151" s="33"/>
    </row>
    <row r="152" spans="1:41" ht="15.75" customHeight="1" x14ac:dyDescent="0.6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4"/>
      <c r="AL152" s="33"/>
      <c r="AM152" s="33"/>
      <c r="AN152" s="33"/>
      <c r="AO152" s="33"/>
    </row>
    <row r="153" spans="1:41" ht="15.75" customHeight="1" x14ac:dyDescent="0.6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4"/>
      <c r="AL153" s="33"/>
      <c r="AM153" s="33"/>
      <c r="AN153" s="33"/>
      <c r="AO153" s="33"/>
    </row>
    <row r="154" spans="1:41" ht="15.75" customHeight="1" x14ac:dyDescent="0.6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4"/>
      <c r="AL154" s="33"/>
      <c r="AM154" s="33"/>
      <c r="AN154" s="33"/>
      <c r="AO154" s="33"/>
    </row>
    <row r="155" spans="1:41" ht="15.75" customHeight="1" x14ac:dyDescent="0.6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4"/>
      <c r="AL155" s="33"/>
      <c r="AM155" s="33"/>
      <c r="AN155" s="33"/>
      <c r="AO155" s="33"/>
    </row>
    <row r="156" spans="1:41" ht="15.75" customHeight="1" x14ac:dyDescent="0.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4"/>
      <c r="AL156" s="33"/>
      <c r="AM156" s="33"/>
      <c r="AN156" s="33"/>
      <c r="AO156" s="33"/>
    </row>
    <row r="157" spans="1:41" ht="15.75" customHeight="1" x14ac:dyDescent="0.6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4"/>
      <c r="AL157" s="33"/>
      <c r="AM157" s="33"/>
      <c r="AN157" s="33"/>
      <c r="AO157" s="33"/>
    </row>
    <row r="158" spans="1:41" ht="15.75" customHeight="1" x14ac:dyDescent="0.6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4"/>
      <c r="AL158" s="33"/>
      <c r="AM158" s="33"/>
      <c r="AN158" s="33"/>
      <c r="AO158" s="33"/>
    </row>
    <row r="159" spans="1:41" ht="15.75" customHeight="1" x14ac:dyDescent="0.6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4"/>
      <c r="AL159" s="33"/>
      <c r="AM159" s="33"/>
      <c r="AN159" s="33"/>
      <c r="AO159" s="33"/>
    </row>
    <row r="160" spans="1:41" ht="15.75" customHeight="1" x14ac:dyDescent="0.6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4"/>
      <c r="AL160" s="33"/>
      <c r="AM160" s="33"/>
      <c r="AN160" s="33"/>
      <c r="AO160" s="33"/>
    </row>
    <row r="161" spans="1:41" ht="15.75" customHeight="1" x14ac:dyDescent="0.6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4"/>
      <c r="AL161" s="33"/>
      <c r="AM161" s="33"/>
      <c r="AN161" s="33"/>
      <c r="AO161" s="33"/>
    </row>
    <row r="162" spans="1:41" ht="15.75" customHeight="1" x14ac:dyDescent="0.6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4"/>
      <c r="AL162" s="33"/>
      <c r="AM162" s="33"/>
      <c r="AN162" s="33"/>
      <c r="AO162" s="33"/>
    </row>
    <row r="163" spans="1:41" ht="15.75" customHeight="1" x14ac:dyDescent="0.6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4"/>
      <c r="AL163" s="33"/>
      <c r="AM163" s="33"/>
      <c r="AN163" s="33"/>
      <c r="AO163" s="33"/>
    </row>
    <row r="164" spans="1:41" ht="15.75" customHeight="1" x14ac:dyDescent="0.6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4"/>
      <c r="AL164" s="33"/>
      <c r="AM164" s="33"/>
      <c r="AN164" s="33"/>
      <c r="AO164" s="33"/>
    </row>
    <row r="165" spans="1:41" ht="15.75" customHeight="1" x14ac:dyDescent="0.6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4"/>
      <c r="AL165" s="33"/>
      <c r="AM165" s="33"/>
      <c r="AN165" s="33"/>
      <c r="AO165" s="33"/>
    </row>
    <row r="166" spans="1:41" ht="15.75" customHeight="1" x14ac:dyDescent="0.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4"/>
      <c r="AL166" s="33"/>
      <c r="AM166" s="33"/>
      <c r="AN166" s="33"/>
      <c r="AO166" s="33"/>
    </row>
    <row r="167" spans="1:41" ht="15.75" customHeight="1" x14ac:dyDescent="0.6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4"/>
      <c r="AL167" s="33"/>
      <c r="AM167" s="33"/>
      <c r="AN167" s="33"/>
      <c r="AO167" s="33"/>
    </row>
    <row r="168" spans="1:41" ht="15.75" customHeight="1" x14ac:dyDescent="0.6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4"/>
      <c r="AL168" s="33"/>
      <c r="AM168" s="33"/>
      <c r="AN168" s="33"/>
      <c r="AO168" s="33"/>
    </row>
    <row r="169" spans="1:41" ht="15.75" customHeight="1" x14ac:dyDescent="0.6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4"/>
      <c r="AL169" s="33"/>
      <c r="AM169" s="33"/>
      <c r="AN169" s="33"/>
      <c r="AO169" s="33"/>
    </row>
    <row r="170" spans="1:41" ht="15.75" customHeight="1" x14ac:dyDescent="0.6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4"/>
      <c r="AL170" s="33"/>
      <c r="AM170" s="33"/>
      <c r="AN170" s="33"/>
      <c r="AO170" s="33"/>
    </row>
    <row r="171" spans="1:41" ht="15.75" customHeight="1" x14ac:dyDescent="0.6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4"/>
      <c r="AL171" s="33"/>
      <c r="AM171" s="33"/>
      <c r="AN171" s="33"/>
      <c r="AO171" s="33"/>
    </row>
    <row r="172" spans="1:41" ht="15.75" customHeight="1" x14ac:dyDescent="0.6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4"/>
      <c r="AL172" s="33"/>
      <c r="AM172" s="33"/>
      <c r="AN172" s="33"/>
      <c r="AO172" s="33"/>
    </row>
    <row r="173" spans="1:41" ht="15.75" customHeight="1" x14ac:dyDescent="0.6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4"/>
      <c r="AL173" s="33"/>
      <c r="AM173" s="33"/>
      <c r="AN173" s="33"/>
      <c r="AO173" s="33"/>
    </row>
    <row r="174" spans="1:41" ht="15.75" customHeight="1" x14ac:dyDescent="0.6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4"/>
      <c r="AL174" s="33"/>
      <c r="AM174" s="33"/>
      <c r="AN174" s="33"/>
      <c r="AO174" s="33"/>
    </row>
    <row r="175" spans="1:41" ht="15.75" customHeight="1" x14ac:dyDescent="0.6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4"/>
      <c r="AL175" s="33"/>
      <c r="AM175" s="33"/>
      <c r="AN175" s="33"/>
      <c r="AO175" s="33"/>
    </row>
    <row r="176" spans="1:41" ht="15.75" customHeight="1" x14ac:dyDescent="0.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4"/>
      <c r="AL176" s="33"/>
      <c r="AM176" s="33"/>
      <c r="AN176" s="33"/>
      <c r="AO176" s="33"/>
    </row>
    <row r="177" spans="1:41" ht="15.75" customHeight="1" x14ac:dyDescent="0.6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4"/>
      <c r="AL177" s="33"/>
      <c r="AM177" s="33"/>
      <c r="AN177" s="33"/>
      <c r="AO177" s="33"/>
    </row>
    <row r="178" spans="1:41" ht="15.75" customHeight="1" x14ac:dyDescent="0.6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4"/>
      <c r="AL178" s="33"/>
      <c r="AM178" s="33"/>
      <c r="AN178" s="33"/>
      <c r="AO178" s="33"/>
    </row>
    <row r="179" spans="1:41" ht="15.75" customHeight="1" x14ac:dyDescent="0.6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4"/>
      <c r="AL179" s="33"/>
      <c r="AM179" s="33"/>
      <c r="AN179" s="33"/>
      <c r="AO179" s="33"/>
    </row>
    <row r="180" spans="1:41" ht="15.75" customHeight="1" x14ac:dyDescent="0.6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4"/>
      <c r="AL180" s="33"/>
      <c r="AM180" s="33"/>
      <c r="AN180" s="33"/>
      <c r="AO180" s="33"/>
    </row>
    <row r="181" spans="1:41" ht="15.75" customHeight="1" x14ac:dyDescent="0.6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4"/>
      <c r="AL181" s="33"/>
      <c r="AM181" s="33"/>
      <c r="AN181" s="33"/>
      <c r="AO181" s="33"/>
    </row>
    <row r="182" spans="1:41" ht="15.75" customHeight="1" x14ac:dyDescent="0.6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4"/>
      <c r="AL182" s="33"/>
      <c r="AM182" s="33"/>
      <c r="AN182" s="33"/>
      <c r="AO182" s="33"/>
    </row>
    <row r="183" spans="1:41" ht="15.75" customHeight="1" x14ac:dyDescent="0.6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4"/>
      <c r="AL183" s="33"/>
      <c r="AM183" s="33"/>
      <c r="AN183" s="33"/>
      <c r="AO183" s="33"/>
    </row>
    <row r="184" spans="1:41" ht="15.75" customHeight="1" x14ac:dyDescent="0.6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4"/>
      <c r="AL184" s="33"/>
      <c r="AM184" s="33"/>
      <c r="AN184" s="33"/>
      <c r="AO184" s="33"/>
    </row>
    <row r="185" spans="1:41" ht="15.75" customHeight="1" x14ac:dyDescent="0.6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4"/>
      <c r="AL185" s="33"/>
      <c r="AM185" s="33"/>
      <c r="AN185" s="33"/>
      <c r="AO185" s="33"/>
    </row>
    <row r="186" spans="1:41" ht="15.75" customHeight="1" x14ac:dyDescent="0.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4"/>
      <c r="AL186" s="33"/>
      <c r="AM186" s="33"/>
      <c r="AN186" s="33"/>
      <c r="AO186" s="33"/>
    </row>
    <row r="187" spans="1:41" ht="15.75" customHeight="1" x14ac:dyDescent="0.6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4"/>
      <c r="AL187" s="33"/>
      <c r="AM187" s="33"/>
      <c r="AN187" s="33"/>
      <c r="AO187" s="33"/>
    </row>
    <row r="188" spans="1:41" ht="15.75" customHeight="1" x14ac:dyDescent="0.6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4"/>
      <c r="AL188" s="33"/>
      <c r="AM188" s="33"/>
      <c r="AN188" s="33"/>
      <c r="AO188" s="33"/>
    </row>
    <row r="189" spans="1:41" ht="15.75" customHeight="1" x14ac:dyDescent="0.6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4"/>
      <c r="AL189" s="33"/>
      <c r="AM189" s="33"/>
      <c r="AN189" s="33"/>
      <c r="AO189" s="33"/>
    </row>
    <row r="190" spans="1:41" ht="15.75" customHeight="1" x14ac:dyDescent="0.6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4"/>
      <c r="AL190" s="33"/>
      <c r="AM190" s="33"/>
      <c r="AN190" s="33"/>
      <c r="AO190" s="33"/>
    </row>
    <row r="191" spans="1:41" ht="15.75" customHeight="1" x14ac:dyDescent="0.6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4"/>
      <c r="AL191" s="33"/>
      <c r="AM191" s="33"/>
      <c r="AN191" s="33"/>
      <c r="AO191" s="33"/>
    </row>
    <row r="192" spans="1:41" ht="15.75" customHeight="1" x14ac:dyDescent="0.6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4"/>
      <c r="AL192" s="33"/>
      <c r="AM192" s="33"/>
      <c r="AN192" s="33"/>
      <c r="AO192" s="33"/>
    </row>
    <row r="193" spans="1:41" ht="15.75" customHeight="1" x14ac:dyDescent="0.6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4"/>
      <c r="AL193" s="33"/>
      <c r="AM193" s="33"/>
      <c r="AN193" s="33"/>
      <c r="AO193" s="33"/>
    </row>
    <row r="194" spans="1:41" ht="15.75" customHeight="1" x14ac:dyDescent="0.6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4"/>
      <c r="AL194" s="33"/>
      <c r="AM194" s="33"/>
      <c r="AN194" s="33"/>
      <c r="AO194" s="33"/>
    </row>
    <row r="195" spans="1:41" ht="15.75" customHeight="1" x14ac:dyDescent="0.6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4"/>
      <c r="AL195" s="33"/>
      <c r="AM195" s="33"/>
      <c r="AN195" s="33"/>
      <c r="AO195" s="33"/>
    </row>
    <row r="196" spans="1:41" ht="15.75" customHeight="1" x14ac:dyDescent="0.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4"/>
      <c r="AL196" s="33"/>
      <c r="AM196" s="33"/>
      <c r="AN196" s="33"/>
      <c r="AO196" s="33"/>
    </row>
    <row r="197" spans="1:41" ht="15.75" customHeight="1" x14ac:dyDescent="0.6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4"/>
      <c r="AL197" s="33"/>
      <c r="AM197" s="33"/>
      <c r="AN197" s="33"/>
      <c r="AO197" s="33"/>
    </row>
    <row r="198" spans="1:41" ht="15.75" customHeight="1" x14ac:dyDescent="0.6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4"/>
      <c r="AL198" s="33"/>
      <c r="AM198" s="33"/>
      <c r="AN198" s="33"/>
      <c r="AO198" s="33"/>
    </row>
    <row r="199" spans="1:41" ht="15.75" customHeight="1" x14ac:dyDescent="0.6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4"/>
      <c r="AL199" s="33"/>
      <c r="AM199" s="33"/>
      <c r="AN199" s="33"/>
      <c r="AO199" s="33"/>
    </row>
    <row r="200" spans="1:41" ht="15.75" customHeight="1" x14ac:dyDescent="0.6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4"/>
      <c r="AL200" s="33"/>
      <c r="AM200" s="33"/>
      <c r="AN200" s="33"/>
      <c r="AO200" s="33"/>
    </row>
    <row r="201" spans="1:41" ht="15.75" customHeight="1" x14ac:dyDescent="0.6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4"/>
      <c r="AL201" s="33"/>
      <c r="AM201" s="33"/>
      <c r="AN201" s="33"/>
      <c r="AO201" s="33"/>
    </row>
    <row r="202" spans="1:41" ht="15.75" customHeight="1" x14ac:dyDescent="0.6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4"/>
      <c r="AL202" s="33"/>
      <c r="AM202" s="33"/>
      <c r="AN202" s="33"/>
      <c r="AO202" s="33"/>
    </row>
    <row r="203" spans="1:41" ht="15.75" customHeight="1" x14ac:dyDescent="0.6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4"/>
      <c r="AL203" s="33"/>
      <c r="AM203" s="33"/>
      <c r="AN203" s="33"/>
      <c r="AO203" s="33"/>
    </row>
    <row r="204" spans="1:41" ht="15.75" customHeight="1" x14ac:dyDescent="0.6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4"/>
      <c r="AL204" s="33"/>
      <c r="AM204" s="33"/>
      <c r="AN204" s="33"/>
      <c r="AO204" s="33"/>
    </row>
    <row r="205" spans="1:41" ht="15.75" customHeight="1" x14ac:dyDescent="0.6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4"/>
      <c r="AL205" s="33"/>
      <c r="AM205" s="33"/>
      <c r="AN205" s="33"/>
      <c r="AO205" s="33"/>
    </row>
    <row r="206" spans="1:41" ht="15.75" customHeight="1" x14ac:dyDescent="0.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4"/>
      <c r="AL206" s="33"/>
      <c r="AM206" s="33"/>
      <c r="AN206" s="33"/>
      <c r="AO206" s="33"/>
    </row>
    <row r="207" spans="1:41" ht="15.75" customHeight="1" x14ac:dyDescent="0.6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4"/>
      <c r="AL207" s="33"/>
      <c r="AM207" s="33"/>
      <c r="AN207" s="33"/>
      <c r="AO207" s="33"/>
    </row>
    <row r="208" spans="1:41" ht="15.75" customHeight="1" x14ac:dyDescent="0.6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4"/>
      <c r="AL208" s="33"/>
      <c r="AM208" s="33"/>
      <c r="AN208" s="33"/>
      <c r="AO208" s="33"/>
    </row>
    <row r="209" spans="1:41" ht="15.75" customHeight="1" x14ac:dyDescent="0.6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4"/>
      <c r="AL209" s="33"/>
      <c r="AM209" s="33"/>
      <c r="AN209" s="33"/>
      <c r="AO209" s="33"/>
    </row>
    <row r="210" spans="1:41" ht="15.75" customHeight="1" x14ac:dyDescent="0.6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4"/>
      <c r="AL210" s="33"/>
      <c r="AM210" s="33"/>
      <c r="AN210" s="33"/>
      <c r="AO210" s="33"/>
    </row>
    <row r="211" spans="1:41" ht="15.75" customHeight="1" x14ac:dyDescent="0.6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4"/>
      <c r="AL211" s="33"/>
      <c r="AM211" s="33"/>
      <c r="AN211" s="33"/>
      <c r="AO211" s="33"/>
    </row>
    <row r="212" spans="1:41" ht="15.75" customHeight="1" x14ac:dyDescent="0.6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4"/>
      <c r="AL212" s="33"/>
      <c r="AM212" s="33"/>
      <c r="AN212" s="33"/>
      <c r="AO212" s="33"/>
    </row>
    <row r="213" spans="1:41" ht="15.75" customHeight="1" x14ac:dyDescent="0.6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4"/>
      <c r="AL213" s="33"/>
      <c r="AM213" s="33"/>
      <c r="AN213" s="33"/>
      <c r="AO213" s="33"/>
    </row>
    <row r="214" spans="1:41" ht="15.75" customHeight="1" x14ac:dyDescent="0.6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4"/>
      <c r="AL214" s="33"/>
      <c r="AM214" s="33"/>
      <c r="AN214" s="33"/>
      <c r="AO214" s="33"/>
    </row>
    <row r="215" spans="1:41" ht="15.75" customHeight="1" x14ac:dyDescent="0.6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4"/>
      <c r="AL215" s="33"/>
      <c r="AM215" s="33"/>
      <c r="AN215" s="33"/>
      <c r="AO215" s="33"/>
    </row>
    <row r="216" spans="1:41" ht="15.75" customHeight="1" x14ac:dyDescent="0.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4"/>
      <c r="AL216" s="33"/>
      <c r="AM216" s="33"/>
      <c r="AN216" s="33"/>
      <c r="AO216" s="33"/>
    </row>
    <row r="217" spans="1:41" ht="15.75" customHeight="1" x14ac:dyDescent="0.6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4"/>
      <c r="AL217" s="33"/>
      <c r="AM217" s="33"/>
      <c r="AN217" s="33"/>
      <c r="AO217" s="33"/>
    </row>
    <row r="218" spans="1:41" ht="15.75" customHeight="1" x14ac:dyDescent="0.6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4"/>
      <c r="AL218" s="33"/>
      <c r="AM218" s="33"/>
      <c r="AN218" s="33"/>
      <c r="AO218" s="33"/>
    </row>
    <row r="219" spans="1:41" ht="15.75" customHeight="1" x14ac:dyDescent="0.6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4"/>
      <c r="AL219" s="33"/>
      <c r="AM219" s="33"/>
      <c r="AN219" s="33"/>
      <c r="AO219" s="33"/>
    </row>
    <row r="220" spans="1:41" ht="15.75" customHeight="1" x14ac:dyDescent="0.6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4"/>
      <c r="AL220" s="33"/>
      <c r="AM220" s="33"/>
      <c r="AN220" s="33"/>
      <c r="AO220" s="33"/>
    </row>
    <row r="221" spans="1:41" ht="15.75" customHeight="1" x14ac:dyDescent="0.6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4"/>
      <c r="AL221" s="33"/>
      <c r="AM221" s="33"/>
      <c r="AN221" s="33"/>
      <c r="AO221" s="33"/>
    </row>
    <row r="222" spans="1:41" ht="15.75" customHeight="1" x14ac:dyDescent="0.6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4"/>
      <c r="AL222" s="33"/>
      <c r="AM222" s="33"/>
      <c r="AN222" s="33"/>
      <c r="AO222" s="33"/>
    </row>
    <row r="223" spans="1:41" ht="15.75" customHeight="1" x14ac:dyDescent="0.6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4"/>
      <c r="AL223" s="33"/>
      <c r="AM223" s="33"/>
      <c r="AN223" s="33"/>
      <c r="AO223" s="33"/>
    </row>
    <row r="224" spans="1:41" ht="15.75" customHeight="1" x14ac:dyDescent="0.6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4"/>
      <c r="AL224" s="33"/>
      <c r="AM224" s="33"/>
      <c r="AN224" s="33"/>
      <c r="AO224" s="33"/>
    </row>
    <row r="225" spans="1:41" ht="15.75" customHeight="1" x14ac:dyDescent="0.6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4"/>
      <c r="AL225" s="33"/>
      <c r="AM225" s="33"/>
      <c r="AN225" s="33"/>
      <c r="AO225" s="33"/>
    </row>
    <row r="226" spans="1:41" ht="15.75" customHeight="1" x14ac:dyDescent="0.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4"/>
      <c r="AL226" s="33"/>
      <c r="AM226" s="33"/>
      <c r="AN226" s="33"/>
      <c r="AO226" s="33"/>
    </row>
    <row r="227" spans="1:41" ht="15.75" customHeight="1" x14ac:dyDescent="0.6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4"/>
      <c r="AL227" s="33"/>
      <c r="AM227" s="33"/>
      <c r="AN227" s="33"/>
      <c r="AO227" s="33"/>
    </row>
    <row r="228" spans="1:41" ht="15.75" customHeight="1" x14ac:dyDescent="0.6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4"/>
      <c r="AL228" s="33"/>
      <c r="AM228" s="33"/>
      <c r="AN228" s="33"/>
      <c r="AO228" s="33"/>
    </row>
    <row r="229" spans="1:41" ht="15.75" customHeight="1" x14ac:dyDescent="0.6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4"/>
      <c r="AL229" s="33"/>
      <c r="AM229" s="33"/>
      <c r="AN229" s="33"/>
      <c r="AO229" s="33"/>
    </row>
    <row r="230" spans="1:41" ht="15.75" customHeight="1" x14ac:dyDescent="0.6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4"/>
      <c r="AL230" s="33"/>
      <c r="AM230" s="33"/>
      <c r="AN230" s="33"/>
      <c r="AO230" s="33"/>
    </row>
    <row r="231" spans="1:41" ht="15.75" customHeight="1" x14ac:dyDescent="0.6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4"/>
      <c r="AL231" s="33"/>
      <c r="AM231" s="33"/>
      <c r="AN231" s="33"/>
      <c r="AO231" s="33"/>
    </row>
    <row r="232" spans="1:41" ht="15.75" customHeight="1" x14ac:dyDescent="0.6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4"/>
      <c r="AL232" s="33"/>
      <c r="AM232" s="33"/>
      <c r="AN232" s="33"/>
      <c r="AO232" s="33"/>
    </row>
    <row r="233" spans="1:41" ht="15.75" customHeight="1" x14ac:dyDescent="0.6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4"/>
      <c r="AL233" s="33"/>
      <c r="AM233" s="33"/>
      <c r="AN233" s="33"/>
      <c r="AO233" s="33"/>
    </row>
    <row r="234" spans="1:41" ht="15.75" customHeight="1" x14ac:dyDescent="0.6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4"/>
      <c r="AL234" s="33"/>
      <c r="AM234" s="33"/>
      <c r="AN234" s="33"/>
      <c r="AO234" s="33"/>
    </row>
    <row r="235" spans="1:41" ht="15.75" customHeight="1" x14ac:dyDescent="0.6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4"/>
      <c r="AL235" s="33"/>
      <c r="AM235" s="33"/>
      <c r="AN235" s="33"/>
      <c r="AO235" s="33"/>
    </row>
    <row r="236" spans="1:41" ht="15.75" customHeight="1" x14ac:dyDescent="0.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4"/>
      <c r="AL236" s="33"/>
      <c r="AM236" s="33"/>
      <c r="AN236" s="33"/>
      <c r="AO236" s="33"/>
    </row>
    <row r="237" spans="1:41" ht="15.75" customHeight="1" x14ac:dyDescent="0.6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4"/>
      <c r="AL237" s="33"/>
      <c r="AM237" s="33"/>
      <c r="AN237" s="33"/>
      <c r="AO237" s="33"/>
    </row>
    <row r="238" spans="1:41" ht="15.75" customHeight="1" x14ac:dyDescent="0.6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4"/>
      <c r="AL238" s="33"/>
      <c r="AM238" s="33"/>
      <c r="AN238" s="33"/>
      <c r="AO238" s="33"/>
    </row>
    <row r="239" spans="1:41" ht="15.75" customHeight="1" x14ac:dyDescent="0.6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4"/>
      <c r="AL239" s="33"/>
      <c r="AM239" s="33"/>
      <c r="AN239" s="33"/>
      <c r="AO239" s="33"/>
    </row>
    <row r="240" spans="1:41" ht="15.75" customHeight="1" x14ac:dyDescent="0.6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4"/>
      <c r="AL240" s="33"/>
      <c r="AM240" s="33"/>
      <c r="AN240" s="33"/>
      <c r="AO240" s="33"/>
    </row>
    <row r="241" spans="1:41" ht="15.75" customHeight="1" x14ac:dyDescent="0.6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4"/>
      <c r="AL241" s="33"/>
      <c r="AM241" s="33"/>
      <c r="AN241" s="33"/>
      <c r="AO241" s="33"/>
    </row>
    <row r="242" spans="1:41" ht="15.75" customHeight="1" x14ac:dyDescent="0.6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4"/>
      <c r="AL242" s="33"/>
      <c r="AM242" s="33"/>
      <c r="AN242" s="33"/>
      <c r="AO242" s="33"/>
    </row>
    <row r="243" spans="1:41" ht="15.75" customHeight="1" x14ac:dyDescent="0.6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4"/>
      <c r="AL243" s="33"/>
      <c r="AM243" s="33"/>
      <c r="AN243" s="33"/>
      <c r="AO243" s="33"/>
    </row>
    <row r="244" spans="1:41" ht="15.75" customHeight="1" x14ac:dyDescent="0.6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4"/>
      <c r="AL244" s="33"/>
      <c r="AM244" s="33"/>
      <c r="AN244" s="33"/>
      <c r="AO244" s="33"/>
    </row>
    <row r="245" spans="1:41" ht="15.75" customHeight="1" x14ac:dyDescent="0.6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4"/>
      <c r="AL245" s="33"/>
      <c r="AM245" s="33"/>
      <c r="AN245" s="33"/>
      <c r="AO245" s="33"/>
    </row>
    <row r="246" spans="1:41" ht="15.75" customHeight="1" x14ac:dyDescent="0.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4"/>
      <c r="AL246" s="33"/>
      <c r="AM246" s="33"/>
      <c r="AN246" s="33"/>
      <c r="AO246" s="33"/>
    </row>
    <row r="247" spans="1:41" ht="15.75" customHeight="1" x14ac:dyDescent="0.6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4"/>
      <c r="AL247" s="33"/>
      <c r="AM247" s="33"/>
      <c r="AN247" s="33"/>
      <c r="AO247" s="33"/>
    </row>
    <row r="248" spans="1:41" ht="15.75" customHeight="1" x14ac:dyDescent="0.6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4"/>
      <c r="AL248" s="33"/>
      <c r="AM248" s="33"/>
      <c r="AN248" s="33"/>
      <c r="AO248" s="33"/>
    </row>
    <row r="249" spans="1:41" ht="15.75" customHeight="1" x14ac:dyDescent="0.6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4"/>
      <c r="AL249" s="33"/>
      <c r="AM249" s="33"/>
      <c r="AN249" s="33"/>
      <c r="AO249" s="33"/>
    </row>
    <row r="250" spans="1:41" ht="15.75" customHeight="1" x14ac:dyDescent="0.6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4"/>
      <c r="AL250" s="33"/>
      <c r="AM250" s="33"/>
      <c r="AN250" s="33"/>
      <c r="AO250" s="33"/>
    </row>
    <row r="251" spans="1:41" ht="15.75" customHeight="1" x14ac:dyDescent="0.6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4"/>
      <c r="AL251" s="33"/>
      <c r="AM251" s="33"/>
      <c r="AN251" s="33"/>
      <c r="AO251" s="33"/>
    </row>
    <row r="252" spans="1:41" ht="15.75" customHeight="1" x14ac:dyDescent="0.6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4"/>
      <c r="AL252" s="33"/>
      <c r="AM252" s="33"/>
      <c r="AN252" s="33"/>
      <c r="AO252" s="33"/>
    </row>
    <row r="253" spans="1:41" ht="15.75" customHeight="1" x14ac:dyDescent="0.6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4"/>
      <c r="AL253" s="33"/>
      <c r="AM253" s="33"/>
      <c r="AN253" s="33"/>
      <c r="AO253" s="33"/>
    </row>
    <row r="254" spans="1:41" ht="15.75" customHeight="1" x14ac:dyDescent="0.6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4"/>
      <c r="AL254" s="33"/>
      <c r="AM254" s="33"/>
      <c r="AN254" s="33"/>
      <c r="AO254" s="33"/>
    </row>
    <row r="255" spans="1:41" ht="15.75" customHeight="1" x14ac:dyDescent="0.6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4"/>
      <c r="AL255" s="33"/>
      <c r="AM255" s="33"/>
      <c r="AN255" s="33"/>
      <c r="AO255" s="33"/>
    </row>
    <row r="256" spans="1:41" ht="15.75" customHeight="1" x14ac:dyDescent="0.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4"/>
      <c r="AL256" s="33"/>
      <c r="AM256" s="33"/>
      <c r="AN256" s="33"/>
      <c r="AO256" s="33"/>
    </row>
    <row r="257" spans="1:41" ht="15.75" customHeight="1" x14ac:dyDescent="0.6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4"/>
      <c r="AL257" s="33"/>
      <c r="AM257" s="33"/>
      <c r="AN257" s="33"/>
      <c r="AO257" s="33"/>
    </row>
    <row r="258" spans="1:41" ht="15.75" customHeight="1" x14ac:dyDescent="0.6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4"/>
      <c r="AL258" s="33"/>
      <c r="AM258" s="33"/>
      <c r="AN258" s="33"/>
      <c r="AO258" s="33"/>
    </row>
    <row r="259" spans="1:41" ht="15.75" customHeight="1" x14ac:dyDescent="0.6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4"/>
      <c r="AL259" s="33"/>
      <c r="AM259" s="33"/>
      <c r="AN259" s="33"/>
      <c r="AO259" s="33"/>
    </row>
    <row r="260" spans="1:41" ht="15.75" customHeight="1" x14ac:dyDescent="0.6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4"/>
      <c r="AL260" s="33"/>
      <c r="AM260" s="33"/>
      <c r="AN260" s="33"/>
      <c r="AO260" s="33"/>
    </row>
    <row r="261" spans="1:41" ht="15.75" customHeight="1" x14ac:dyDescent="0.6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4"/>
      <c r="AL261" s="33"/>
      <c r="AM261" s="33"/>
      <c r="AN261" s="33"/>
      <c r="AO261" s="33"/>
    </row>
    <row r="262" spans="1:41" ht="15.75" customHeight="1" x14ac:dyDescent="0.6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4"/>
      <c r="AL262" s="33"/>
      <c r="AM262" s="33"/>
      <c r="AN262" s="33"/>
      <c r="AO262" s="33"/>
    </row>
    <row r="263" spans="1:41" ht="15.75" customHeight="1" x14ac:dyDescent="0.6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4"/>
      <c r="AL263" s="33"/>
      <c r="AM263" s="33"/>
      <c r="AN263" s="33"/>
      <c r="AO263" s="33"/>
    </row>
    <row r="264" spans="1:41" ht="15.75" customHeight="1" x14ac:dyDescent="0.6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4"/>
      <c r="AL264" s="33"/>
      <c r="AM264" s="33"/>
      <c r="AN264" s="33"/>
      <c r="AO264" s="33"/>
    </row>
    <row r="265" spans="1:41" ht="15.75" customHeight="1" x14ac:dyDescent="0.6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4"/>
      <c r="AL265" s="33"/>
      <c r="AM265" s="33"/>
      <c r="AN265" s="33"/>
      <c r="AO265" s="33"/>
    </row>
    <row r="266" spans="1:41" ht="15.75" customHeight="1" x14ac:dyDescent="0.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4"/>
      <c r="AL266" s="33"/>
      <c r="AM266" s="33"/>
      <c r="AN266" s="33"/>
      <c r="AO266" s="33"/>
    </row>
    <row r="267" spans="1:41" ht="15.75" customHeight="1" x14ac:dyDescent="0.6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4"/>
      <c r="AL267" s="33"/>
      <c r="AM267" s="33"/>
      <c r="AN267" s="33"/>
      <c r="AO267" s="33"/>
    </row>
    <row r="268" spans="1:41" ht="15.75" customHeight="1" x14ac:dyDescent="0.6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4"/>
      <c r="AL268" s="33"/>
      <c r="AM268" s="33"/>
      <c r="AN268" s="33"/>
      <c r="AO268" s="33"/>
    </row>
    <row r="269" spans="1:41" ht="15.75" customHeight="1" x14ac:dyDescent="0.6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4"/>
      <c r="AL269" s="33"/>
      <c r="AM269" s="33"/>
      <c r="AN269" s="33"/>
      <c r="AO269" s="33"/>
    </row>
    <row r="270" spans="1:41" ht="15.75" customHeight="1" x14ac:dyDescent="0.6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4"/>
      <c r="AL270" s="33"/>
      <c r="AM270" s="33"/>
      <c r="AN270" s="33"/>
      <c r="AO270" s="33"/>
    </row>
    <row r="271" spans="1:41" ht="15.75" customHeight="1" x14ac:dyDescent="0.6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4"/>
      <c r="AL271" s="33"/>
      <c r="AM271" s="33"/>
      <c r="AN271" s="33"/>
      <c r="AO271" s="33"/>
    </row>
    <row r="272" spans="1:41" ht="15.75" customHeight="1" x14ac:dyDescent="0.6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4"/>
      <c r="AL272" s="33"/>
      <c r="AM272" s="33"/>
      <c r="AN272" s="33"/>
      <c r="AO272" s="33"/>
    </row>
    <row r="273" spans="1:41" ht="15.75" customHeight="1" x14ac:dyDescent="0.6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4"/>
      <c r="AL273" s="33"/>
      <c r="AM273" s="33"/>
      <c r="AN273" s="33"/>
      <c r="AO273" s="33"/>
    </row>
    <row r="274" spans="1:41" ht="15.75" customHeight="1" x14ac:dyDescent="0.6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4"/>
      <c r="AL274" s="33"/>
      <c r="AM274" s="33"/>
      <c r="AN274" s="33"/>
      <c r="AO274" s="33"/>
    </row>
    <row r="275" spans="1:41" ht="15.75" customHeight="1" x14ac:dyDescent="0.6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4"/>
      <c r="AL275" s="33"/>
      <c r="AM275" s="33"/>
      <c r="AN275" s="33"/>
      <c r="AO275" s="33"/>
    </row>
    <row r="276" spans="1:41" ht="15.75" customHeight="1" x14ac:dyDescent="0.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4"/>
      <c r="AL276" s="33"/>
      <c r="AM276" s="33"/>
      <c r="AN276" s="33"/>
      <c r="AO276" s="33"/>
    </row>
    <row r="277" spans="1:41" ht="15.75" customHeight="1" x14ac:dyDescent="0.6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4"/>
      <c r="AL277" s="33"/>
      <c r="AM277" s="33"/>
      <c r="AN277" s="33"/>
      <c r="AO277" s="33"/>
    </row>
    <row r="278" spans="1:41" ht="15.75" customHeight="1" x14ac:dyDescent="0.6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4"/>
      <c r="AL278" s="33"/>
      <c r="AM278" s="33"/>
      <c r="AN278" s="33"/>
      <c r="AO278" s="33"/>
    </row>
    <row r="279" spans="1:41" ht="15.75" customHeight="1" x14ac:dyDescent="0.6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4"/>
      <c r="AL279" s="33"/>
      <c r="AM279" s="33"/>
      <c r="AN279" s="33"/>
      <c r="AO279" s="33"/>
    </row>
    <row r="280" spans="1:41" ht="15.75" customHeight="1" x14ac:dyDescent="0.6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4"/>
      <c r="AL280" s="33"/>
      <c r="AM280" s="33"/>
      <c r="AN280" s="33"/>
      <c r="AO280" s="33"/>
    </row>
    <row r="281" spans="1:41" ht="15.75" customHeight="1" x14ac:dyDescent="0.6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4"/>
      <c r="AL281" s="33"/>
      <c r="AM281" s="33"/>
      <c r="AN281" s="33"/>
      <c r="AO281" s="33"/>
    </row>
    <row r="282" spans="1:41" ht="15.75" customHeight="1" x14ac:dyDescent="0.6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4"/>
      <c r="AL282" s="33"/>
      <c r="AM282" s="33"/>
      <c r="AN282" s="33"/>
      <c r="AO282" s="33"/>
    </row>
    <row r="283" spans="1:41" ht="15.75" customHeight="1" x14ac:dyDescent="0.6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4"/>
      <c r="AL283" s="33"/>
      <c r="AM283" s="33"/>
      <c r="AN283" s="33"/>
      <c r="AO283" s="33"/>
    </row>
    <row r="284" spans="1:41" ht="15.75" customHeight="1" x14ac:dyDescent="0.6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4"/>
      <c r="AL284" s="33"/>
      <c r="AM284" s="33"/>
      <c r="AN284" s="33"/>
      <c r="AO284" s="33"/>
    </row>
    <row r="285" spans="1:41" ht="15.75" customHeight="1" x14ac:dyDescent="0.6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4"/>
      <c r="AL285" s="33"/>
      <c r="AM285" s="33"/>
      <c r="AN285" s="33"/>
      <c r="AO285" s="33"/>
    </row>
    <row r="286" spans="1:41" ht="15.75" customHeight="1" x14ac:dyDescent="0.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4"/>
      <c r="AL286" s="33"/>
      <c r="AM286" s="33"/>
      <c r="AN286" s="33"/>
      <c r="AO286" s="33"/>
    </row>
    <row r="287" spans="1:41" ht="15.75" customHeight="1" x14ac:dyDescent="0.6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4"/>
      <c r="AL287" s="33"/>
      <c r="AM287" s="33"/>
      <c r="AN287" s="33"/>
      <c r="AO287" s="33"/>
    </row>
    <row r="288" spans="1:41" ht="15.75" customHeight="1" x14ac:dyDescent="0.6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4"/>
      <c r="AL288" s="33"/>
      <c r="AM288" s="33"/>
      <c r="AN288" s="33"/>
      <c r="AO288" s="33"/>
    </row>
    <row r="289" spans="1:41" ht="15.75" customHeight="1" x14ac:dyDescent="0.6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4"/>
      <c r="AL289" s="33"/>
      <c r="AM289" s="33"/>
      <c r="AN289" s="33"/>
      <c r="AO289" s="33"/>
    </row>
    <row r="290" spans="1:41" ht="15.75" customHeight="1" x14ac:dyDescent="0.6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4"/>
      <c r="AL290" s="33"/>
      <c r="AM290" s="33"/>
      <c r="AN290" s="33"/>
      <c r="AO290" s="33"/>
    </row>
    <row r="291" spans="1:41" ht="15.75" customHeight="1" x14ac:dyDescent="0.6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4"/>
      <c r="AL291" s="33"/>
      <c r="AM291" s="33"/>
      <c r="AN291" s="33"/>
      <c r="AO291" s="33"/>
    </row>
    <row r="292" spans="1:41" ht="15.75" customHeight="1" x14ac:dyDescent="0.6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4"/>
      <c r="AL292" s="33"/>
      <c r="AM292" s="33"/>
      <c r="AN292" s="33"/>
      <c r="AO292" s="33"/>
    </row>
    <row r="293" spans="1:41" ht="15.75" customHeight="1" x14ac:dyDescent="0.6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4"/>
      <c r="AL293" s="33"/>
      <c r="AM293" s="33"/>
      <c r="AN293" s="33"/>
      <c r="AO293" s="33"/>
    </row>
    <row r="294" spans="1:41" ht="15.75" customHeight="1" x14ac:dyDescent="0.6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4"/>
      <c r="AL294" s="33"/>
      <c r="AM294" s="33"/>
      <c r="AN294" s="33"/>
      <c r="AO294" s="33"/>
    </row>
    <row r="295" spans="1:41" ht="15.75" customHeight="1" x14ac:dyDescent="0.6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4"/>
      <c r="AL295" s="33"/>
      <c r="AM295" s="33"/>
      <c r="AN295" s="33"/>
      <c r="AO295" s="33"/>
    </row>
    <row r="296" spans="1:41" ht="15.75" customHeight="1" x14ac:dyDescent="0.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4"/>
      <c r="AL296" s="33"/>
      <c r="AM296" s="33"/>
      <c r="AN296" s="33"/>
      <c r="AO296" s="33"/>
    </row>
    <row r="297" spans="1:41" ht="15.75" customHeight="1" x14ac:dyDescent="0.6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4"/>
      <c r="AL297" s="33"/>
      <c r="AM297" s="33"/>
      <c r="AN297" s="33"/>
      <c r="AO297" s="33"/>
    </row>
    <row r="298" spans="1:41" ht="15.75" customHeight="1" x14ac:dyDescent="0.6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4"/>
      <c r="AL298" s="33"/>
      <c r="AM298" s="33"/>
      <c r="AN298" s="33"/>
      <c r="AO298" s="33"/>
    </row>
    <row r="299" spans="1:41" ht="15.75" customHeight="1" x14ac:dyDescent="0.6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4"/>
      <c r="AL299" s="33"/>
      <c r="AM299" s="33"/>
      <c r="AN299" s="33"/>
      <c r="AO299" s="33"/>
    </row>
    <row r="300" spans="1:41" ht="15.75" customHeight="1" x14ac:dyDescent="0.6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4"/>
      <c r="AL300" s="33"/>
      <c r="AM300" s="33"/>
      <c r="AN300" s="33"/>
      <c r="AO300" s="33"/>
    </row>
    <row r="301" spans="1:41" ht="15.75" customHeight="1" x14ac:dyDescent="0.6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4"/>
      <c r="AL301" s="33"/>
      <c r="AM301" s="33"/>
      <c r="AN301" s="33"/>
      <c r="AO301" s="33"/>
    </row>
    <row r="302" spans="1:41" ht="15.75" customHeight="1" x14ac:dyDescent="0.6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4"/>
      <c r="AL302" s="33"/>
      <c r="AM302" s="33"/>
      <c r="AN302" s="33"/>
      <c r="AO302" s="33"/>
    </row>
    <row r="303" spans="1:41" ht="15.75" customHeight="1" x14ac:dyDescent="0.6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4"/>
      <c r="AL303" s="33"/>
      <c r="AM303" s="33"/>
      <c r="AN303" s="33"/>
      <c r="AO303" s="33"/>
    </row>
    <row r="304" spans="1:41" ht="15.75" customHeight="1" x14ac:dyDescent="0.6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4"/>
      <c r="AL304" s="33"/>
      <c r="AM304" s="33"/>
      <c r="AN304" s="33"/>
      <c r="AO304" s="33"/>
    </row>
    <row r="305" spans="1:41" ht="15.75" customHeight="1" x14ac:dyDescent="0.6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4"/>
      <c r="AL305" s="33"/>
      <c r="AM305" s="33"/>
      <c r="AN305" s="33"/>
      <c r="AO305" s="33"/>
    </row>
    <row r="306" spans="1:41" ht="15.75" customHeight="1" x14ac:dyDescent="0.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4"/>
      <c r="AL306" s="33"/>
      <c r="AM306" s="33"/>
      <c r="AN306" s="33"/>
      <c r="AO306" s="33"/>
    </row>
    <row r="307" spans="1:41" ht="15.75" customHeight="1" x14ac:dyDescent="0.6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4"/>
      <c r="AL307" s="33"/>
      <c r="AM307" s="33"/>
      <c r="AN307" s="33"/>
      <c r="AO307" s="33"/>
    </row>
    <row r="308" spans="1:41" ht="15.75" customHeight="1" x14ac:dyDescent="0.6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4"/>
      <c r="AL308" s="33"/>
      <c r="AM308" s="33"/>
      <c r="AN308" s="33"/>
      <c r="AO308" s="33"/>
    </row>
    <row r="309" spans="1:41" ht="15.75" customHeight="1" x14ac:dyDescent="0.6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4"/>
      <c r="AL309" s="33"/>
      <c r="AM309" s="33"/>
      <c r="AN309" s="33"/>
      <c r="AO309" s="33"/>
    </row>
    <row r="310" spans="1:41" ht="15.75" customHeight="1" x14ac:dyDescent="0.6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4"/>
      <c r="AL310" s="33"/>
      <c r="AM310" s="33"/>
      <c r="AN310" s="33"/>
      <c r="AO310" s="33"/>
    </row>
    <row r="311" spans="1:41" ht="15.75" customHeight="1" x14ac:dyDescent="0.6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4"/>
      <c r="AL311" s="33"/>
      <c r="AM311" s="33"/>
      <c r="AN311" s="33"/>
      <c r="AO311" s="33"/>
    </row>
    <row r="312" spans="1:41" ht="15.75" customHeight="1" x14ac:dyDescent="0.6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4"/>
      <c r="AL312" s="33"/>
      <c r="AM312" s="33"/>
      <c r="AN312" s="33"/>
      <c r="AO312" s="33"/>
    </row>
    <row r="313" spans="1:41" ht="15.75" customHeight="1" x14ac:dyDescent="0.6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4"/>
      <c r="AL313" s="33"/>
      <c r="AM313" s="33"/>
      <c r="AN313" s="33"/>
      <c r="AO313" s="33"/>
    </row>
    <row r="314" spans="1:41" ht="15.75" customHeight="1" x14ac:dyDescent="0.6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4"/>
      <c r="AL314" s="33"/>
      <c r="AM314" s="33"/>
      <c r="AN314" s="33"/>
      <c r="AO314" s="33"/>
    </row>
    <row r="315" spans="1:41" ht="15.75" customHeight="1" x14ac:dyDescent="0.6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4"/>
      <c r="AL315" s="33"/>
      <c r="AM315" s="33"/>
      <c r="AN315" s="33"/>
      <c r="AO315" s="33"/>
    </row>
    <row r="316" spans="1:41" ht="15.75" customHeight="1" x14ac:dyDescent="0.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4"/>
      <c r="AL316" s="33"/>
      <c r="AM316" s="33"/>
      <c r="AN316" s="33"/>
      <c r="AO316" s="33"/>
    </row>
    <row r="317" spans="1:41" ht="15.75" customHeight="1" x14ac:dyDescent="0.6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4"/>
      <c r="AL317" s="33"/>
      <c r="AM317" s="33"/>
      <c r="AN317" s="33"/>
      <c r="AO317" s="33"/>
    </row>
    <row r="318" spans="1:41" ht="15.75" customHeight="1" x14ac:dyDescent="0.6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4"/>
      <c r="AL318" s="33"/>
      <c r="AM318" s="33"/>
      <c r="AN318" s="33"/>
      <c r="AO318" s="33"/>
    </row>
    <row r="319" spans="1:41" ht="15.75" customHeight="1" x14ac:dyDescent="0.6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4"/>
      <c r="AL319" s="33"/>
      <c r="AM319" s="33"/>
      <c r="AN319" s="33"/>
      <c r="AO319" s="33"/>
    </row>
    <row r="320" spans="1:41" ht="15.75" customHeight="1" x14ac:dyDescent="0.6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4"/>
      <c r="AL320" s="33"/>
      <c r="AM320" s="33"/>
      <c r="AN320" s="33"/>
      <c r="AO320" s="33"/>
    </row>
    <row r="321" spans="1:41" ht="15.75" customHeight="1" x14ac:dyDescent="0.6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4"/>
      <c r="AL321" s="33"/>
      <c r="AM321" s="33"/>
      <c r="AN321" s="33"/>
      <c r="AO321" s="33"/>
    </row>
    <row r="322" spans="1:41" ht="15.75" customHeight="1" x14ac:dyDescent="0.6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4"/>
      <c r="AL322" s="33"/>
      <c r="AM322" s="33"/>
      <c r="AN322" s="33"/>
      <c r="AO322" s="33"/>
    </row>
    <row r="323" spans="1:41" ht="15.75" customHeight="1" x14ac:dyDescent="0.6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4"/>
      <c r="AL323" s="33"/>
      <c r="AM323" s="33"/>
      <c r="AN323" s="33"/>
      <c r="AO323" s="33"/>
    </row>
    <row r="324" spans="1:41" ht="15.75" customHeight="1" x14ac:dyDescent="0.6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4"/>
      <c r="AL324" s="33"/>
      <c r="AM324" s="33"/>
      <c r="AN324" s="33"/>
      <c r="AO324" s="33"/>
    </row>
    <row r="325" spans="1:41" ht="15.75" customHeight="1" x14ac:dyDescent="0.6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4"/>
      <c r="AL325" s="33"/>
      <c r="AM325" s="33"/>
      <c r="AN325" s="33"/>
      <c r="AO325" s="33"/>
    </row>
    <row r="326" spans="1:41" ht="15.75" customHeight="1" x14ac:dyDescent="0.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4"/>
      <c r="AL326" s="33"/>
      <c r="AM326" s="33"/>
      <c r="AN326" s="33"/>
      <c r="AO326" s="33"/>
    </row>
    <row r="327" spans="1:41" ht="15.75" customHeight="1" x14ac:dyDescent="0.6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4"/>
      <c r="AL327" s="33"/>
      <c r="AM327" s="33"/>
      <c r="AN327" s="33"/>
      <c r="AO327" s="33"/>
    </row>
    <row r="328" spans="1:41" ht="15.75" customHeight="1" x14ac:dyDescent="0.6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4"/>
      <c r="AL328" s="33"/>
      <c r="AM328" s="33"/>
      <c r="AN328" s="33"/>
      <c r="AO328" s="33"/>
    </row>
    <row r="329" spans="1:41" ht="15.75" customHeight="1" x14ac:dyDescent="0.6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4"/>
      <c r="AL329" s="33"/>
      <c r="AM329" s="33"/>
      <c r="AN329" s="33"/>
      <c r="AO329" s="33"/>
    </row>
    <row r="330" spans="1:41" ht="15.75" customHeight="1" x14ac:dyDescent="0.6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4"/>
      <c r="AL330" s="33"/>
      <c r="AM330" s="33"/>
      <c r="AN330" s="33"/>
      <c r="AO330" s="33"/>
    </row>
    <row r="331" spans="1:41" ht="15.75" customHeight="1" x14ac:dyDescent="0.6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4"/>
      <c r="AL331" s="33"/>
      <c r="AM331" s="33"/>
      <c r="AN331" s="33"/>
      <c r="AO331" s="33"/>
    </row>
    <row r="332" spans="1:41" ht="15.75" customHeight="1" x14ac:dyDescent="0.6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4"/>
      <c r="AL332" s="33"/>
      <c r="AM332" s="33"/>
      <c r="AN332" s="33"/>
      <c r="AO332" s="33"/>
    </row>
    <row r="333" spans="1:41" ht="15.75" customHeight="1" x14ac:dyDescent="0.6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4"/>
      <c r="AL333" s="33"/>
      <c r="AM333" s="33"/>
      <c r="AN333" s="33"/>
      <c r="AO333" s="33"/>
    </row>
    <row r="334" spans="1:41" ht="15.75" customHeight="1" x14ac:dyDescent="0.6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4"/>
      <c r="AL334" s="33"/>
      <c r="AM334" s="33"/>
      <c r="AN334" s="33"/>
      <c r="AO334" s="33"/>
    </row>
    <row r="335" spans="1:41" ht="15.75" customHeight="1" x14ac:dyDescent="0.6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4"/>
      <c r="AL335" s="33"/>
      <c r="AM335" s="33"/>
      <c r="AN335" s="33"/>
      <c r="AO335" s="33"/>
    </row>
    <row r="336" spans="1:41" ht="15.75" customHeight="1" x14ac:dyDescent="0.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4"/>
      <c r="AL336" s="33"/>
      <c r="AM336" s="33"/>
      <c r="AN336" s="33"/>
      <c r="AO336" s="33"/>
    </row>
    <row r="337" spans="1:41" ht="15.75" customHeight="1" x14ac:dyDescent="0.6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4"/>
      <c r="AL337" s="33"/>
      <c r="AM337" s="33"/>
      <c r="AN337" s="33"/>
      <c r="AO337" s="33"/>
    </row>
    <row r="338" spans="1:41" ht="15.75" customHeight="1" x14ac:dyDescent="0.6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4"/>
      <c r="AL338" s="33"/>
      <c r="AM338" s="33"/>
      <c r="AN338" s="33"/>
      <c r="AO338" s="33"/>
    </row>
    <row r="339" spans="1:41" ht="15.75" customHeight="1" x14ac:dyDescent="0.6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4"/>
      <c r="AL339" s="33"/>
      <c r="AM339" s="33"/>
      <c r="AN339" s="33"/>
      <c r="AO339" s="33"/>
    </row>
    <row r="340" spans="1:41" ht="15.75" customHeight="1" x14ac:dyDescent="0.6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4"/>
      <c r="AL340" s="33"/>
      <c r="AM340" s="33"/>
      <c r="AN340" s="33"/>
      <c r="AO340" s="33"/>
    </row>
    <row r="341" spans="1:41" ht="15.75" customHeight="1" x14ac:dyDescent="0.6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4"/>
      <c r="AL341" s="33"/>
      <c r="AM341" s="33"/>
      <c r="AN341" s="33"/>
      <c r="AO341" s="33"/>
    </row>
    <row r="342" spans="1:41" ht="15.75" customHeight="1" x14ac:dyDescent="0.6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4"/>
      <c r="AL342" s="33"/>
      <c r="AM342" s="33"/>
      <c r="AN342" s="33"/>
      <c r="AO342" s="33"/>
    </row>
    <row r="343" spans="1:41" ht="15.75" customHeight="1" x14ac:dyDescent="0.6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4"/>
      <c r="AL343" s="33"/>
      <c r="AM343" s="33"/>
      <c r="AN343" s="33"/>
      <c r="AO343" s="33"/>
    </row>
    <row r="344" spans="1:41" ht="15.75" customHeight="1" x14ac:dyDescent="0.6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4"/>
      <c r="AL344" s="33"/>
      <c r="AM344" s="33"/>
      <c r="AN344" s="33"/>
      <c r="AO344" s="33"/>
    </row>
    <row r="345" spans="1:41" ht="15.75" customHeight="1" x14ac:dyDescent="0.6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4"/>
      <c r="AL345" s="33"/>
      <c r="AM345" s="33"/>
      <c r="AN345" s="33"/>
      <c r="AO345" s="33"/>
    </row>
    <row r="346" spans="1:41" ht="15.75" customHeight="1" x14ac:dyDescent="0.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4"/>
      <c r="AL346" s="33"/>
      <c r="AM346" s="33"/>
      <c r="AN346" s="33"/>
      <c r="AO346" s="33"/>
    </row>
    <row r="347" spans="1:41" ht="15.75" customHeight="1" x14ac:dyDescent="0.6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4"/>
      <c r="AL347" s="33"/>
      <c r="AM347" s="33"/>
      <c r="AN347" s="33"/>
      <c r="AO347" s="33"/>
    </row>
    <row r="348" spans="1:41" ht="15.75" customHeight="1" x14ac:dyDescent="0.6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4"/>
      <c r="AL348" s="33"/>
      <c r="AM348" s="33"/>
      <c r="AN348" s="33"/>
      <c r="AO348" s="33"/>
    </row>
    <row r="349" spans="1:41" ht="15.75" customHeight="1" x14ac:dyDescent="0.6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4"/>
      <c r="AL349" s="33"/>
      <c r="AM349" s="33"/>
      <c r="AN349" s="33"/>
      <c r="AO349" s="33"/>
    </row>
    <row r="350" spans="1:41" ht="15.75" customHeight="1" x14ac:dyDescent="0.6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4"/>
      <c r="AL350" s="33"/>
      <c r="AM350" s="33"/>
      <c r="AN350" s="33"/>
      <c r="AO350" s="33"/>
    </row>
    <row r="351" spans="1:41" ht="15.75" customHeight="1" x14ac:dyDescent="0.6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4"/>
      <c r="AL351" s="33"/>
      <c r="AM351" s="33"/>
      <c r="AN351" s="33"/>
      <c r="AO351" s="33"/>
    </row>
    <row r="352" spans="1:41" ht="15.75" customHeight="1" x14ac:dyDescent="0.6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4"/>
      <c r="AL352" s="33"/>
      <c r="AM352" s="33"/>
      <c r="AN352" s="33"/>
      <c r="AO352" s="33"/>
    </row>
    <row r="353" spans="1:41" ht="15.75" customHeight="1" x14ac:dyDescent="0.6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4"/>
      <c r="AL353" s="33"/>
      <c r="AM353" s="33"/>
      <c r="AN353" s="33"/>
      <c r="AO353" s="33"/>
    </row>
    <row r="354" spans="1:41" ht="15.75" customHeight="1" x14ac:dyDescent="0.6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4"/>
      <c r="AL354" s="33"/>
      <c r="AM354" s="33"/>
      <c r="AN354" s="33"/>
      <c r="AO354" s="33"/>
    </row>
    <row r="355" spans="1:41" ht="15.75" customHeight="1" x14ac:dyDescent="0.6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4"/>
      <c r="AL355" s="33"/>
      <c r="AM355" s="33"/>
      <c r="AN355" s="33"/>
      <c r="AO355" s="33"/>
    </row>
    <row r="356" spans="1:41" ht="15.75" customHeight="1" x14ac:dyDescent="0.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4"/>
      <c r="AL356" s="33"/>
      <c r="AM356" s="33"/>
      <c r="AN356" s="33"/>
      <c r="AO356" s="33"/>
    </row>
    <row r="357" spans="1:41" ht="15.75" customHeight="1" x14ac:dyDescent="0.6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4"/>
      <c r="AL357" s="33"/>
      <c r="AM357" s="33"/>
      <c r="AN357" s="33"/>
      <c r="AO357" s="33"/>
    </row>
    <row r="358" spans="1:41" ht="15.75" customHeight="1" x14ac:dyDescent="0.6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4"/>
      <c r="AL358" s="33"/>
      <c r="AM358" s="33"/>
      <c r="AN358" s="33"/>
      <c r="AO358" s="33"/>
    </row>
    <row r="359" spans="1:41" ht="15.75" customHeight="1" x14ac:dyDescent="0.6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4"/>
      <c r="AL359" s="33"/>
      <c r="AM359" s="33"/>
      <c r="AN359" s="33"/>
      <c r="AO359" s="33"/>
    </row>
    <row r="360" spans="1:41" ht="15.75" customHeight="1" x14ac:dyDescent="0.6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4"/>
      <c r="AL360" s="33"/>
      <c r="AM360" s="33"/>
      <c r="AN360" s="33"/>
      <c r="AO360" s="33"/>
    </row>
    <row r="361" spans="1:41" ht="15.75" customHeight="1" x14ac:dyDescent="0.6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4"/>
      <c r="AL361" s="33"/>
      <c r="AM361" s="33"/>
      <c r="AN361" s="33"/>
      <c r="AO361" s="33"/>
    </row>
    <row r="362" spans="1:41" ht="15.75" customHeight="1" x14ac:dyDescent="0.6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4"/>
      <c r="AL362" s="33"/>
      <c r="AM362" s="33"/>
      <c r="AN362" s="33"/>
      <c r="AO362" s="33"/>
    </row>
    <row r="363" spans="1:41" ht="15.75" customHeight="1" x14ac:dyDescent="0.6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4"/>
      <c r="AL363" s="33"/>
      <c r="AM363" s="33"/>
      <c r="AN363" s="33"/>
      <c r="AO363" s="33"/>
    </row>
    <row r="364" spans="1:41" ht="15.75" customHeight="1" x14ac:dyDescent="0.6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4"/>
      <c r="AL364" s="33"/>
      <c r="AM364" s="33"/>
      <c r="AN364" s="33"/>
      <c r="AO364" s="33"/>
    </row>
    <row r="365" spans="1:41" ht="15.75" customHeight="1" x14ac:dyDescent="0.6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4"/>
      <c r="AL365" s="33"/>
      <c r="AM365" s="33"/>
      <c r="AN365" s="33"/>
      <c r="AO365" s="33"/>
    </row>
    <row r="366" spans="1:41" ht="15.75" customHeight="1" x14ac:dyDescent="0.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4"/>
      <c r="AL366" s="33"/>
      <c r="AM366" s="33"/>
      <c r="AN366" s="33"/>
      <c r="AO366" s="33"/>
    </row>
    <row r="367" spans="1:41" ht="15.75" customHeight="1" x14ac:dyDescent="0.6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4"/>
      <c r="AL367" s="33"/>
      <c r="AM367" s="33"/>
      <c r="AN367" s="33"/>
      <c r="AO367" s="33"/>
    </row>
    <row r="368" spans="1:41" ht="15.75" customHeight="1" x14ac:dyDescent="0.6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4"/>
      <c r="AL368" s="33"/>
      <c r="AM368" s="33"/>
      <c r="AN368" s="33"/>
      <c r="AO368" s="33"/>
    </row>
    <row r="369" spans="1:41" ht="15.75" customHeight="1" x14ac:dyDescent="0.6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4"/>
      <c r="AL369" s="33"/>
      <c r="AM369" s="33"/>
      <c r="AN369" s="33"/>
      <c r="AO369" s="33"/>
    </row>
    <row r="370" spans="1:41" ht="15.75" customHeight="1" x14ac:dyDescent="0.6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4"/>
      <c r="AL370" s="33"/>
      <c r="AM370" s="33"/>
      <c r="AN370" s="33"/>
      <c r="AO370" s="33"/>
    </row>
    <row r="371" spans="1:41" ht="15.75" customHeight="1" x14ac:dyDescent="0.6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4"/>
      <c r="AL371" s="33"/>
      <c r="AM371" s="33"/>
      <c r="AN371" s="33"/>
      <c r="AO371" s="33"/>
    </row>
    <row r="372" spans="1:41" ht="15.75" customHeight="1" x14ac:dyDescent="0.6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4"/>
      <c r="AL372" s="33"/>
      <c r="AM372" s="33"/>
      <c r="AN372" s="33"/>
      <c r="AO372" s="33"/>
    </row>
    <row r="373" spans="1:41" ht="15.75" customHeight="1" x14ac:dyDescent="0.6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4"/>
      <c r="AL373" s="33"/>
      <c r="AM373" s="33"/>
      <c r="AN373" s="33"/>
      <c r="AO373" s="33"/>
    </row>
    <row r="374" spans="1:41" ht="15.75" customHeight="1" x14ac:dyDescent="0.6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4"/>
      <c r="AL374" s="33"/>
      <c r="AM374" s="33"/>
      <c r="AN374" s="33"/>
      <c r="AO374" s="33"/>
    </row>
    <row r="375" spans="1:41" ht="15.75" customHeight="1" x14ac:dyDescent="0.6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4"/>
      <c r="AL375" s="33"/>
      <c r="AM375" s="33"/>
      <c r="AN375" s="33"/>
      <c r="AO375" s="33"/>
    </row>
    <row r="376" spans="1:41" ht="15.75" customHeight="1" x14ac:dyDescent="0.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4"/>
      <c r="AL376" s="33"/>
      <c r="AM376" s="33"/>
      <c r="AN376" s="33"/>
      <c r="AO376" s="33"/>
    </row>
    <row r="377" spans="1:41" ht="15.75" customHeight="1" x14ac:dyDescent="0.6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4"/>
      <c r="AL377" s="33"/>
      <c r="AM377" s="33"/>
      <c r="AN377" s="33"/>
      <c r="AO377" s="33"/>
    </row>
    <row r="378" spans="1:41" ht="15.75" customHeight="1" x14ac:dyDescent="0.6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4"/>
      <c r="AL378" s="33"/>
      <c r="AM378" s="33"/>
      <c r="AN378" s="33"/>
      <c r="AO378" s="33"/>
    </row>
    <row r="379" spans="1:41" ht="15.75" customHeight="1" x14ac:dyDescent="0.6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4"/>
      <c r="AL379" s="33"/>
      <c r="AM379" s="33"/>
      <c r="AN379" s="33"/>
      <c r="AO379" s="33"/>
    </row>
    <row r="380" spans="1:41" ht="15.75" customHeight="1" x14ac:dyDescent="0.6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4"/>
      <c r="AL380" s="33"/>
      <c r="AM380" s="33"/>
      <c r="AN380" s="33"/>
      <c r="AO380" s="33"/>
    </row>
    <row r="381" spans="1:41" ht="15.75" customHeight="1" x14ac:dyDescent="0.6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4"/>
      <c r="AL381" s="33"/>
      <c r="AM381" s="33"/>
      <c r="AN381" s="33"/>
      <c r="AO381" s="33"/>
    </row>
    <row r="382" spans="1:41" ht="15.75" customHeight="1" x14ac:dyDescent="0.6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4"/>
      <c r="AL382" s="33"/>
      <c r="AM382" s="33"/>
      <c r="AN382" s="33"/>
      <c r="AO382" s="33"/>
    </row>
    <row r="383" spans="1:41" ht="15.75" customHeight="1" x14ac:dyDescent="0.6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4"/>
      <c r="AL383" s="33"/>
      <c r="AM383" s="33"/>
      <c r="AN383" s="33"/>
      <c r="AO383" s="33"/>
    </row>
    <row r="384" spans="1:41" ht="15.75" customHeight="1" x14ac:dyDescent="0.6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4"/>
      <c r="AL384" s="33"/>
      <c r="AM384" s="33"/>
      <c r="AN384" s="33"/>
      <c r="AO384" s="33"/>
    </row>
    <row r="385" spans="1:41" ht="15.75" customHeight="1" x14ac:dyDescent="0.6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4"/>
      <c r="AL385" s="33"/>
      <c r="AM385" s="33"/>
      <c r="AN385" s="33"/>
      <c r="AO385" s="33"/>
    </row>
    <row r="386" spans="1:41" ht="15.75" customHeight="1" x14ac:dyDescent="0.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4"/>
      <c r="AL386" s="33"/>
      <c r="AM386" s="33"/>
      <c r="AN386" s="33"/>
      <c r="AO386" s="33"/>
    </row>
    <row r="387" spans="1:41" ht="15.75" customHeight="1" x14ac:dyDescent="0.6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4"/>
      <c r="AL387" s="33"/>
      <c r="AM387" s="33"/>
      <c r="AN387" s="33"/>
      <c r="AO387" s="33"/>
    </row>
    <row r="388" spans="1:41" ht="15.75" customHeight="1" x14ac:dyDescent="0.6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4"/>
      <c r="AL388" s="33"/>
      <c r="AM388" s="33"/>
      <c r="AN388" s="33"/>
      <c r="AO388" s="33"/>
    </row>
    <row r="389" spans="1:41" ht="15.75" customHeight="1" x14ac:dyDescent="0.6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4"/>
      <c r="AL389" s="33"/>
      <c r="AM389" s="33"/>
      <c r="AN389" s="33"/>
      <c r="AO389" s="33"/>
    </row>
    <row r="390" spans="1:41" ht="15.75" customHeight="1" x14ac:dyDescent="0.6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4"/>
      <c r="AL390" s="33"/>
      <c r="AM390" s="33"/>
      <c r="AN390" s="33"/>
      <c r="AO390" s="33"/>
    </row>
    <row r="391" spans="1:41" ht="15.75" customHeight="1" x14ac:dyDescent="0.6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4"/>
      <c r="AL391" s="33"/>
      <c r="AM391" s="33"/>
      <c r="AN391" s="33"/>
      <c r="AO391" s="33"/>
    </row>
    <row r="392" spans="1:41" ht="15.75" customHeight="1" x14ac:dyDescent="0.6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4"/>
      <c r="AL392" s="33"/>
      <c r="AM392" s="33"/>
      <c r="AN392" s="33"/>
      <c r="AO392" s="33"/>
    </row>
    <row r="393" spans="1:41" ht="15.75" customHeight="1" x14ac:dyDescent="0.6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4"/>
      <c r="AL393" s="33"/>
      <c r="AM393" s="33"/>
      <c r="AN393" s="33"/>
      <c r="AO393" s="33"/>
    </row>
    <row r="394" spans="1:41" ht="15.75" customHeight="1" x14ac:dyDescent="0.6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4"/>
      <c r="AL394" s="33"/>
      <c r="AM394" s="33"/>
      <c r="AN394" s="33"/>
      <c r="AO394" s="33"/>
    </row>
    <row r="395" spans="1:41" ht="15.75" customHeight="1" x14ac:dyDescent="0.6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4"/>
      <c r="AL395" s="33"/>
      <c r="AM395" s="33"/>
      <c r="AN395" s="33"/>
      <c r="AO395" s="33"/>
    </row>
    <row r="396" spans="1:41" ht="15.75" customHeight="1" x14ac:dyDescent="0.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4"/>
      <c r="AL396" s="33"/>
      <c r="AM396" s="33"/>
      <c r="AN396" s="33"/>
      <c r="AO396" s="33"/>
    </row>
    <row r="397" spans="1:41" ht="15.75" customHeight="1" x14ac:dyDescent="0.6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4"/>
      <c r="AL397" s="33"/>
      <c r="AM397" s="33"/>
      <c r="AN397" s="33"/>
      <c r="AO397" s="33"/>
    </row>
    <row r="398" spans="1:41" ht="15.75" customHeight="1" x14ac:dyDescent="0.6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4"/>
      <c r="AL398" s="33"/>
      <c r="AM398" s="33"/>
      <c r="AN398" s="33"/>
      <c r="AO398" s="33"/>
    </row>
    <row r="399" spans="1:41" ht="15.75" customHeight="1" x14ac:dyDescent="0.6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4"/>
      <c r="AL399" s="33"/>
      <c r="AM399" s="33"/>
      <c r="AN399" s="33"/>
      <c r="AO399" s="33"/>
    </row>
    <row r="400" spans="1:41" ht="15.75" customHeight="1" x14ac:dyDescent="0.6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4"/>
      <c r="AL400" s="33"/>
      <c r="AM400" s="33"/>
      <c r="AN400" s="33"/>
      <c r="AO400" s="33"/>
    </row>
    <row r="401" spans="1:41" ht="15.75" customHeight="1" x14ac:dyDescent="0.6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4"/>
      <c r="AL401" s="33"/>
      <c r="AM401" s="33"/>
      <c r="AN401" s="33"/>
      <c r="AO401" s="33"/>
    </row>
    <row r="402" spans="1:41" ht="15.75" customHeight="1" x14ac:dyDescent="0.6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4"/>
      <c r="AL402" s="33"/>
      <c r="AM402" s="33"/>
      <c r="AN402" s="33"/>
      <c r="AO402" s="33"/>
    </row>
    <row r="403" spans="1:41" ht="15.75" customHeight="1" x14ac:dyDescent="0.6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4"/>
      <c r="AL403" s="33"/>
      <c r="AM403" s="33"/>
      <c r="AN403" s="33"/>
      <c r="AO403" s="33"/>
    </row>
    <row r="404" spans="1:41" ht="15.75" customHeight="1" x14ac:dyDescent="0.6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4"/>
      <c r="AL404" s="33"/>
      <c r="AM404" s="33"/>
      <c r="AN404" s="33"/>
      <c r="AO404" s="33"/>
    </row>
    <row r="405" spans="1:41" ht="15.75" customHeight="1" x14ac:dyDescent="0.6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4"/>
      <c r="AL405" s="33"/>
      <c r="AM405" s="33"/>
      <c r="AN405" s="33"/>
      <c r="AO405" s="33"/>
    </row>
    <row r="406" spans="1:41" ht="15.75" customHeight="1" x14ac:dyDescent="0.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4"/>
      <c r="AL406" s="33"/>
      <c r="AM406" s="33"/>
      <c r="AN406" s="33"/>
      <c r="AO406" s="33"/>
    </row>
    <row r="407" spans="1:41" ht="15.75" customHeight="1" x14ac:dyDescent="0.6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4"/>
      <c r="AL407" s="33"/>
      <c r="AM407" s="33"/>
      <c r="AN407" s="33"/>
      <c r="AO407" s="33"/>
    </row>
    <row r="408" spans="1:41" ht="15.75" customHeight="1" x14ac:dyDescent="0.6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4"/>
      <c r="AL408" s="33"/>
      <c r="AM408" s="33"/>
      <c r="AN408" s="33"/>
      <c r="AO408" s="33"/>
    </row>
    <row r="409" spans="1:41" ht="15.75" customHeight="1" x14ac:dyDescent="0.6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4"/>
      <c r="AL409" s="33"/>
      <c r="AM409" s="33"/>
      <c r="AN409" s="33"/>
      <c r="AO409" s="33"/>
    </row>
    <row r="410" spans="1:41" ht="15.75" customHeight="1" x14ac:dyDescent="0.6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4"/>
      <c r="AL410" s="33"/>
      <c r="AM410" s="33"/>
      <c r="AN410" s="33"/>
      <c r="AO410" s="33"/>
    </row>
    <row r="411" spans="1:41" ht="15.75" customHeight="1" x14ac:dyDescent="0.6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4"/>
      <c r="AL411" s="33"/>
      <c r="AM411" s="33"/>
      <c r="AN411" s="33"/>
      <c r="AO411" s="33"/>
    </row>
    <row r="412" spans="1:41" ht="15.75" customHeight="1" x14ac:dyDescent="0.6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4"/>
      <c r="AL412" s="33"/>
      <c r="AM412" s="33"/>
      <c r="AN412" s="33"/>
      <c r="AO412" s="33"/>
    </row>
    <row r="413" spans="1:41" ht="15.75" customHeight="1" x14ac:dyDescent="0.6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4"/>
      <c r="AL413" s="33"/>
      <c r="AM413" s="33"/>
      <c r="AN413" s="33"/>
      <c r="AO413" s="33"/>
    </row>
    <row r="414" spans="1:41" ht="15.75" customHeight="1" x14ac:dyDescent="0.6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4"/>
      <c r="AL414" s="33"/>
      <c r="AM414" s="33"/>
      <c r="AN414" s="33"/>
      <c r="AO414" s="33"/>
    </row>
    <row r="415" spans="1:41" ht="15.75" customHeight="1" x14ac:dyDescent="0.6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4"/>
      <c r="AL415" s="33"/>
      <c r="AM415" s="33"/>
      <c r="AN415" s="33"/>
      <c r="AO415" s="33"/>
    </row>
    <row r="416" spans="1:41" ht="15.75" customHeight="1" x14ac:dyDescent="0.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4"/>
      <c r="AL416" s="33"/>
      <c r="AM416" s="33"/>
      <c r="AN416" s="33"/>
      <c r="AO416" s="33"/>
    </row>
    <row r="417" spans="1:41" ht="15.75" customHeight="1" x14ac:dyDescent="0.6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4"/>
      <c r="AL417" s="33"/>
      <c r="AM417" s="33"/>
      <c r="AN417" s="33"/>
      <c r="AO417" s="33"/>
    </row>
    <row r="418" spans="1:41" ht="15.75" customHeight="1" x14ac:dyDescent="0.6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4"/>
      <c r="AL418" s="33"/>
      <c r="AM418" s="33"/>
      <c r="AN418" s="33"/>
      <c r="AO418" s="33"/>
    </row>
    <row r="419" spans="1:41" ht="15.75" customHeight="1" x14ac:dyDescent="0.6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4"/>
      <c r="AL419" s="33"/>
      <c r="AM419" s="33"/>
      <c r="AN419" s="33"/>
      <c r="AO419" s="33"/>
    </row>
    <row r="420" spans="1:41" ht="15.75" customHeight="1" x14ac:dyDescent="0.6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4"/>
      <c r="AL420" s="33"/>
      <c r="AM420" s="33"/>
      <c r="AN420" s="33"/>
      <c r="AO420" s="33"/>
    </row>
    <row r="421" spans="1:41" ht="15.75" customHeight="1" x14ac:dyDescent="0.6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4"/>
      <c r="AL421" s="33"/>
      <c r="AM421" s="33"/>
      <c r="AN421" s="33"/>
      <c r="AO421" s="33"/>
    </row>
    <row r="422" spans="1:41" ht="15.75" customHeight="1" x14ac:dyDescent="0.6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4"/>
      <c r="AL422" s="33"/>
      <c r="AM422" s="33"/>
      <c r="AN422" s="33"/>
      <c r="AO422" s="33"/>
    </row>
    <row r="423" spans="1:41" ht="15.75" customHeight="1" x14ac:dyDescent="0.6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4"/>
      <c r="AL423" s="33"/>
      <c r="AM423" s="33"/>
      <c r="AN423" s="33"/>
      <c r="AO423" s="33"/>
    </row>
    <row r="424" spans="1:41" ht="15.75" customHeight="1" x14ac:dyDescent="0.6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4"/>
      <c r="AL424" s="33"/>
      <c r="AM424" s="33"/>
      <c r="AN424" s="33"/>
      <c r="AO424" s="33"/>
    </row>
    <row r="425" spans="1:41" ht="15.75" customHeight="1" x14ac:dyDescent="0.6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4"/>
      <c r="AL425" s="33"/>
      <c r="AM425" s="33"/>
      <c r="AN425" s="33"/>
      <c r="AO425" s="33"/>
    </row>
    <row r="426" spans="1:41" ht="15.75" customHeight="1" x14ac:dyDescent="0.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4"/>
      <c r="AL426" s="33"/>
      <c r="AM426" s="33"/>
      <c r="AN426" s="33"/>
      <c r="AO426" s="33"/>
    </row>
    <row r="427" spans="1:41" ht="15.75" customHeight="1" x14ac:dyDescent="0.6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4"/>
      <c r="AL427" s="33"/>
      <c r="AM427" s="33"/>
      <c r="AN427" s="33"/>
      <c r="AO427" s="33"/>
    </row>
    <row r="428" spans="1:41" ht="15.75" customHeight="1" x14ac:dyDescent="0.6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4"/>
      <c r="AL428" s="33"/>
      <c r="AM428" s="33"/>
      <c r="AN428" s="33"/>
      <c r="AO428" s="33"/>
    </row>
    <row r="429" spans="1:41" ht="15.75" customHeight="1" x14ac:dyDescent="0.6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4"/>
      <c r="AL429" s="33"/>
      <c r="AM429" s="33"/>
      <c r="AN429" s="33"/>
      <c r="AO429" s="33"/>
    </row>
    <row r="430" spans="1:41" ht="15.75" customHeight="1" x14ac:dyDescent="0.6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4"/>
      <c r="AL430" s="33"/>
      <c r="AM430" s="33"/>
      <c r="AN430" s="33"/>
      <c r="AO430" s="33"/>
    </row>
    <row r="431" spans="1:41" ht="15.75" customHeight="1" x14ac:dyDescent="0.6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4"/>
      <c r="AL431" s="33"/>
      <c r="AM431" s="33"/>
      <c r="AN431" s="33"/>
      <c r="AO431" s="33"/>
    </row>
    <row r="432" spans="1:41" ht="15.75" customHeight="1" x14ac:dyDescent="0.6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4"/>
      <c r="AL432" s="33"/>
      <c r="AM432" s="33"/>
      <c r="AN432" s="33"/>
      <c r="AO432" s="33"/>
    </row>
    <row r="433" spans="1:41" ht="15.75" customHeight="1" x14ac:dyDescent="0.6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4"/>
      <c r="AL433" s="33"/>
      <c r="AM433" s="33"/>
      <c r="AN433" s="33"/>
      <c r="AO433" s="33"/>
    </row>
    <row r="434" spans="1:41" ht="15.75" customHeight="1" x14ac:dyDescent="0.6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4"/>
      <c r="AL434" s="33"/>
      <c r="AM434" s="33"/>
      <c r="AN434" s="33"/>
      <c r="AO434" s="33"/>
    </row>
    <row r="435" spans="1:41" ht="15.75" customHeight="1" x14ac:dyDescent="0.6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4"/>
      <c r="AL435" s="33"/>
      <c r="AM435" s="33"/>
      <c r="AN435" s="33"/>
      <c r="AO435" s="33"/>
    </row>
    <row r="436" spans="1:41" ht="15.75" customHeight="1" x14ac:dyDescent="0.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4"/>
      <c r="AL436" s="33"/>
      <c r="AM436" s="33"/>
      <c r="AN436" s="33"/>
      <c r="AO436" s="33"/>
    </row>
    <row r="437" spans="1:41" ht="15.75" customHeight="1" x14ac:dyDescent="0.6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4"/>
      <c r="AL437" s="33"/>
      <c r="AM437" s="33"/>
      <c r="AN437" s="33"/>
      <c r="AO437" s="33"/>
    </row>
    <row r="438" spans="1:41" ht="15.75" customHeight="1" x14ac:dyDescent="0.6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4"/>
      <c r="AL438" s="33"/>
      <c r="AM438" s="33"/>
      <c r="AN438" s="33"/>
      <c r="AO438" s="33"/>
    </row>
    <row r="439" spans="1:41" ht="15.75" customHeight="1" x14ac:dyDescent="0.6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4"/>
      <c r="AL439" s="33"/>
      <c r="AM439" s="33"/>
      <c r="AN439" s="33"/>
      <c r="AO439" s="33"/>
    </row>
    <row r="440" spans="1:41" ht="15.75" customHeight="1" x14ac:dyDescent="0.6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4"/>
      <c r="AL440" s="33"/>
      <c r="AM440" s="33"/>
      <c r="AN440" s="33"/>
      <c r="AO440" s="33"/>
    </row>
    <row r="441" spans="1:41" ht="15.75" customHeight="1" x14ac:dyDescent="0.6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4"/>
      <c r="AL441" s="33"/>
      <c r="AM441" s="33"/>
      <c r="AN441" s="33"/>
      <c r="AO441" s="33"/>
    </row>
    <row r="442" spans="1:41" ht="15.75" customHeight="1" x14ac:dyDescent="0.6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4"/>
      <c r="AL442" s="33"/>
      <c r="AM442" s="33"/>
      <c r="AN442" s="33"/>
      <c r="AO442" s="33"/>
    </row>
    <row r="443" spans="1:41" ht="15.75" customHeight="1" x14ac:dyDescent="0.6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4"/>
      <c r="AL443" s="33"/>
      <c r="AM443" s="33"/>
      <c r="AN443" s="33"/>
      <c r="AO443" s="33"/>
    </row>
    <row r="444" spans="1:41" ht="15.75" customHeight="1" x14ac:dyDescent="0.6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4"/>
      <c r="AL444" s="33"/>
      <c r="AM444" s="33"/>
      <c r="AN444" s="33"/>
      <c r="AO444" s="33"/>
    </row>
    <row r="445" spans="1:41" ht="15.75" customHeight="1" x14ac:dyDescent="0.6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4"/>
      <c r="AL445" s="33"/>
      <c r="AM445" s="33"/>
      <c r="AN445" s="33"/>
      <c r="AO445" s="33"/>
    </row>
    <row r="446" spans="1:41" ht="15.75" customHeight="1" x14ac:dyDescent="0.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4"/>
      <c r="AL446" s="33"/>
      <c r="AM446" s="33"/>
      <c r="AN446" s="33"/>
      <c r="AO446" s="33"/>
    </row>
    <row r="447" spans="1:41" ht="15.75" customHeight="1" x14ac:dyDescent="0.6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4"/>
      <c r="AL447" s="33"/>
      <c r="AM447" s="33"/>
      <c r="AN447" s="33"/>
      <c r="AO447" s="33"/>
    </row>
    <row r="448" spans="1:41" ht="15.75" customHeight="1" x14ac:dyDescent="0.6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4"/>
      <c r="AL448" s="33"/>
      <c r="AM448" s="33"/>
      <c r="AN448" s="33"/>
      <c r="AO448" s="33"/>
    </row>
    <row r="449" spans="1:41" ht="15.75" customHeight="1" x14ac:dyDescent="0.6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4"/>
      <c r="AL449" s="33"/>
      <c r="AM449" s="33"/>
      <c r="AN449" s="33"/>
      <c r="AO449" s="33"/>
    </row>
    <row r="450" spans="1:41" ht="15.75" customHeight="1" x14ac:dyDescent="0.6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4"/>
      <c r="AL450" s="33"/>
      <c r="AM450" s="33"/>
      <c r="AN450" s="33"/>
      <c r="AO450" s="33"/>
    </row>
    <row r="451" spans="1:41" ht="15.75" customHeight="1" x14ac:dyDescent="0.6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4"/>
      <c r="AL451" s="33"/>
      <c r="AM451" s="33"/>
      <c r="AN451" s="33"/>
      <c r="AO451" s="33"/>
    </row>
    <row r="452" spans="1:41" ht="15.75" customHeight="1" x14ac:dyDescent="0.6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4"/>
      <c r="AL452" s="33"/>
      <c r="AM452" s="33"/>
      <c r="AN452" s="33"/>
      <c r="AO452" s="33"/>
    </row>
    <row r="453" spans="1:41" ht="15.75" customHeight="1" x14ac:dyDescent="0.6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4"/>
      <c r="AL453" s="33"/>
      <c r="AM453" s="33"/>
      <c r="AN453" s="33"/>
      <c r="AO453" s="33"/>
    </row>
    <row r="454" spans="1:41" ht="15.75" customHeight="1" x14ac:dyDescent="0.6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4"/>
      <c r="AL454" s="33"/>
      <c r="AM454" s="33"/>
      <c r="AN454" s="33"/>
      <c r="AO454" s="33"/>
    </row>
    <row r="455" spans="1:41" ht="15.75" customHeight="1" x14ac:dyDescent="0.6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4"/>
      <c r="AL455" s="33"/>
      <c r="AM455" s="33"/>
      <c r="AN455" s="33"/>
      <c r="AO455" s="33"/>
    </row>
    <row r="456" spans="1:41" ht="15.75" customHeight="1" x14ac:dyDescent="0.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4"/>
      <c r="AL456" s="33"/>
      <c r="AM456" s="33"/>
      <c r="AN456" s="33"/>
      <c r="AO456" s="33"/>
    </row>
    <row r="457" spans="1:41" ht="15.75" customHeight="1" x14ac:dyDescent="0.6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4"/>
      <c r="AL457" s="33"/>
      <c r="AM457" s="33"/>
      <c r="AN457" s="33"/>
      <c r="AO457" s="33"/>
    </row>
    <row r="458" spans="1:41" ht="15.75" customHeight="1" x14ac:dyDescent="0.6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4"/>
      <c r="AL458" s="33"/>
      <c r="AM458" s="33"/>
      <c r="AN458" s="33"/>
      <c r="AO458" s="33"/>
    </row>
    <row r="459" spans="1:41" ht="15.75" customHeight="1" x14ac:dyDescent="0.6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4"/>
      <c r="AL459" s="33"/>
      <c r="AM459" s="33"/>
      <c r="AN459" s="33"/>
      <c r="AO459" s="33"/>
    </row>
    <row r="460" spans="1:41" ht="15.75" customHeight="1" x14ac:dyDescent="0.6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4"/>
      <c r="AL460" s="33"/>
      <c r="AM460" s="33"/>
      <c r="AN460" s="33"/>
      <c r="AO460" s="33"/>
    </row>
    <row r="461" spans="1:41" ht="15.75" customHeight="1" x14ac:dyDescent="0.6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4"/>
      <c r="AL461" s="33"/>
      <c r="AM461" s="33"/>
      <c r="AN461" s="33"/>
      <c r="AO461" s="33"/>
    </row>
    <row r="462" spans="1:41" ht="15.75" customHeight="1" x14ac:dyDescent="0.6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4"/>
      <c r="AL462" s="33"/>
      <c r="AM462" s="33"/>
      <c r="AN462" s="33"/>
      <c r="AO462" s="33"/>
    </row>
    <row r="463" spans="1:41" ht="15.75" customHeight="1" x14ac:dyDescent="0.6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4"/>
      <c r="AL463" s="33"/>
      <c r="AM463" s="33"/>
      <c r="AN463" s="33"/>
      <c r="AO463" s="33"/>
    </row>
    <row r="464" spans="1:41" ht="15.75" customHeight="1" x14ac:dyDescent="0.6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4"/>
      <c r="AL464" s="33"/>
      <c r="AM464" s="33"/>
      <c r="AN464" s="33"/>
      <c r="AO464" s="33"/>
    </row>
    <row r="465" spans="1:41" ht="15.75" customHeight="1" x14ac:dyDescent="0.6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4"/>
      <c r="AL465" s="33"/>
      <c r="AM465" s="33"/>
      <c r="AN465" s="33"/>
      <c r="AO465" s="33"/>
    </row>
    <row r="466" spans="1:41" ht="15.75" customHeight="1" x14ac:dyDescent="0.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4"/>
      <c r="AL466" s="33"/>
      <c r="AM466" s="33"/>
      <c r="AN466" s="33"/>
      <c r="AO466" s="33"/>
    </row>
    <row r="467" spans="1:41" ht="15.75" customHeight="1" x14ac:dyDescent="0.6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4"/>
      <c r="AL467" s="33"/>
      <c r="AM467" s="33"/>
      <c r="AN467" s="33"/>
      <c r="AO467" s="33"/>
    </row>
    <row r="468" spans="1:41" ht="15.75" customHeight="1" x14ac:dyDescent="0.6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4"/>
      <c r="AL468" s="33"/>
      <c r="AM468" s="33"/>
      <c r="AN468" s="33"/>
      <c r="AO468" s="33"/>
    </row>
    <row r="469" spans="1:41" ht="15.75" customHeight="1" x14ac:dyDescent="0.6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4"/>
      <c r="AL469" s="33"/>
      <c r="AM469" s="33"/>
      <c r="AN469" s="33"/>
      <c r="AO469" s="33"/>
    </row>
    <row r="470" spans="1:41" ht="15.75" customHeight="1" x14ac:dyDescent="0.6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4"/>
      <c r="AL470" s="33"/>
      <c r="AM470" s="33"/>
      <c r="AN470" s="33"/>
      <c r="AO470" s="33"/>
    </row>
    <row r="471" spans="1:41" ht="15.75" customHeight="1" x14ac:dyDescent="0.6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4"/>
      <c r="AL471" s="33"/>
      <c r="AM471" s="33"/>
      <c r="AN471" s="33"/>
      <c r="AO471" s="33"/>
    </row>
    <row r="472" spans="1:41" ht="15.75" customHeight="1" x14ac:dyDescent="0.6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4"/>
      <c r="AL472" s="33"/>
      <c r="AM472" s="33"/>
      <c r="AN472" s="33"/>
      <c r="AO472" s="33"/>
    </row>
    <row r="473" spans="1:41" ht="15.75" customHeight="1" x14ac:dyDescent="0.6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4"/>
      <c r="AL473" s="33"/>
      <c r="AM473" s="33"/>
      <c r="AN473" s="33"/>
      <c r="AO473" s="33"/>
    </row>
    <row r="474" spans="1:41" ht="15.75" customHeight="1" x14ac:dyDescent="0.6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4"/>
      <c r="AL474" s="33"/>
      <c r="AM474" s="33"/>
      <c r="AN474" s="33"/>
      <c r="AO474" s="33"/>
    </row>
    <row r="475" spans="1:41" ht="15.75" customHeight="1" x14ac:dyDescent="0.6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4"/>
      <c r="AL475" s="33"/>
      <c r="AM475" s="33"/>
      <c r="AN475" s="33"/>
      <c r="AO475" s="33"/>
    </row>
    <row r="476" spans="1:41" ht="15.75" customHeight="1" x14ac:dyDescent="0.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4"/>
      <c r="AL476" s="33"/>
      <c r="AM476" s="33"/>
      <c r="AN476" s="33"/>
      <c r="AO476" s="33"/>
    </row>
    <row r="477" spans="1:41" ht="15.75" customHeight="1" x14ac:dyDescent="0.6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4"/>
      <c r="AL477" s="33"/>
      <c r="AM477" s="33"/>
      <c r="AN477" s="33"/>
      <c r="AO477" s="33"/>
    </row>
    <row r="478" spans="1:41" ht="15.75" customHeight="1" x14ac:dyDescent="0.6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4"/>
      <c r="AL478" s="33"/>
      <c r="AM478" s="33"/>
      <c r="AN478" s="33"/>
      <c r="AO478" s="33"/>
    </row>
    <row r="479" spans="1:41" ht="15.75" customHeight="1" x14ac:dyDescent="0.6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4"/>
      <c r="AL479" s="33"/>
      <c r="AM479" s="33"/>
      <c r="AN479" s="33"/>
      <c r="AO479" s="33"/>
    </row>
    <row r="480" spans="1:41" ht="15.75" customHeight="1" x14ac:dyDescent="0.6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4"/>
      <c r="AL480" s="33"/>
      <c r="AM480" s="33"/>
      <c r="AN480" s="33"/>
      <c r="AO480" s="33"/>
    </row>
    <row r="481" spans="1:41" ht="15.75" customHeight="1" x14ac:dyDescent="0.6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4"/>
      <c r="AL481" s="33"/>
      <c r="AM481" s="33"/>
      <c r="AN481" s="33"/>
      <c r="AO481" s="33"/>
    </row>
    <row r="482" spans="1:41" ht="15.75" customHeight="1" x14ac:dyDescent="0.6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4"/>
      <c r="AL482" s="33"/>
      <c r="AM482" s="33"/>
      <c r="AN482" s="33"/>
      <c r="AO482" s="33"/>
    </row>
    <row r="483" spans="1:41" ht="15.75" customHeight="1" x14ac:dyDescent="0.6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4"/>
      <c r="AL483" s="33"/>
      <c r="AM483" s="33"/>
      <c r="AN483" s="33"/>
      <c r="AO483" s="33"/>
    </row>
    <row r="484" spans="1:41" ht="15.75" customHeight="1" x14ac:dyDescent="0.6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4"/>
      <c r="AL484" s="33"/>
      <c r="AM484" s="33"/>
      <c r="AN484" s="33"/>
      <c r="AO484" s="33"/>
    </row>
    <row r="485" spans="1:41" ht="15.75" customHeight="1" x14ac:dyDescent="0.6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4"/>
      <c r="AL485" s="33"/>
      <c r="AM485" s="33"/>
      <c r="AN485" s="33"/>
      <c r="AO485" s="33"/>
    </row>
    <row r="486" spans="1:41" ht="15.75" customHeight="1" x14ac:dyDescent="0.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4"/>
      <c r="AL486" s="33"/>
      <c r="AM486" s="33"/>
      <c r="AN486" s="33"/>
      <c r="AO486" s="33"/>
    </row>
    <row r="487" spans="1:41" ht="15.75" customHeight="1" x14ac:dyDescent="0.6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4"/>
      <c r="AL487" s="33"/>
      <c r="AM487" s="33"/>
      <c r="AN487" s="33"/>
      <c r="AO487" s="33"/>
    </row>
    <row r="488" spans="1:41" ht="15.75" customHeight="1" x14ac:dyDescent="0.6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4"/>
      <c r="AL488" s="33"/>
      <c r="AM488" s="33"/>
      <c r="AN488" s="33"/>
      <c r="AO488" s="33"/>
    </row>
    <row r="489" spans="1:41" ht="15.75" customHeight="1" x14ac:dyDescent="0.6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4"/>
      <c r="AL489" s="33"/>
      <c r="AM489" s="33"/>
      <c r="AN489" s="33"/>
      <c r="AO489" s="33"/>
    </row>
    <row r="490" spans="1:41" ht="15.75" customHeight="1" x14ac:dyDescent="0.6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4"/>
      <c r="AL490" s="33"/>
      <c r="AM490" s="33"/>
      <c r="AN490" s="33"/>
      <c r="AO490" s="33"/>
    </row>
    <row r="491" spans="1:41" ht="15.75" customHeight="1" x14ac:dyDescent="0.6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4"/>
      <c r="AL491" s="33"/>
      <c r="AM491" s="33"/>
      <c r="AN491" s="33"/>
      <c r="AO491" s="33"/>
    </row>
    <row r="492" spans="1:41" ht="15.75" customHeight="1" x14ac:dyDescent="0.6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4"/>
      <c r="AL492" s="33"/>
      <c r="AM492" s="33"/>
      <c r="AN492" s="33"/>
      <c r="AO492" s="33"/>
    </row>
    <row r="493" spans="1:41" ht="15.75" customHeight="1" x14ac:dyDescent="0.6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4"/>
      <c r="AL493" s="33"/>
      <c r="AM493" s="33"/>
      <c r="AN493" s="33"/>
      <c r="AO493" s="33"/>
    </row>
    <row r="494" spans="1:41" ht="15.75" customHeight="1" x14ac:dyDescent="0.6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4"/>
      <c r="AL494" s="33"/>
      <c r="AM494" s="33"/>
      <c r="AN494" s="33"/>
      <c r="AO494" s="33"/>
    </row>
    <row r="495" spans="1:41" ht="15.75" customHeight="1" x14ac:dyDescent="0.6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4"/>
      <c r="AL495" s="33"/>
      <c r="AM495" s="33"/>
      <c r="AN495" s="33"/>
      <c r="AO495" s="33"/>
    </row>
    <row r="496" spans="1:41" ht="15.75" customHeight="1" x14ac:dyDescent="0.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4"/>
      <c r="AL496" s="33"/>
      <c r="AM496" s="33"/>
      <c r="AN496" s="33"/>
      <c r="AO496" s="33"/>
    </row>
    <row r="497" spans="1:41" ht="15.75" customHeight="1" x14ac:dyDescent="0.6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4"/>
      <c r="AL497" s="33"/>
      <c r="AM497" s="33"/>
      <c r="AN497" s="33"/>
      <c r="AO497" s="33"/>
    </row>
    <row r="498" spans="1:41" ht="15.75" customHeight="1" x14ac:dyDescent="0.6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4"/>
      <c r="AL498" s="33"/>
      <c r="AM498" s="33"/>
      <c r="AN498" s="33"/>
      <c r="AO498" s="33"/>
    </row>
    <row r="499" spans="1:41" ht="15.75" customHeight="1" x14ac:dyDescent="0.6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4"/>
      <c r="AL499" s="33"/>
      <c r="AM499" s="33"/>
      <c r="AN499" s="33"/>
      <c r="AO499" s="33"/>
    </row>
    <row r="500" spans="1:41" ht="15.75" customHeight="1" x14ac:dyDescent="0.6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4"/>
      <c r="AL500" s="33"/>
      <c r="AM500" s="33"/>
      <c r="AN500" s="33"/>
      <c r="AO500" s="33"/>
    </row>
    <row r="501" spans="1:41" ht="15.75" customHeight="1" x14ac:dyDescent="0.6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4"/>
      <c r="AL501" s="33"/>
      <c r="AM501" s="33"/>
      <c r="AN501" s="33"/>
      <c r="AO501" s="33"/>
    </row>
    <row r="502" spans="1:41" ht="15.75" customHeight="1" x14ac:dyDescent="0.6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4"/>
      <c r="AL502" s="33"/>
      <c r="AM502" s="33"/>
      <c r="AN502" s="33"/>
      <c r="AO502" s="33"/>
    </row>
    <row r="503" spans="1:41" ht="15.75" customHeight="1" x14ac:dyDescent="0.6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4"/>
      <c r="AL503" s="33"/>
      <c r="AM503" s="33"/>
      <c r="AN503" s="33"/>
      <c r="AO503" s="33"/>
    </row>
    <row r="504" spans="1:41" ht="15.75" customHeight="1" x14ac:dyDescent="0.6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4"/>
      <c r="AL504" s="33"/>
      <c r="AM504" s="33"/>
      <c r="AN504" s="33"/>
      <c r="AO504" s="33"/>
    </row>
    <row r="505" spans="1:41" ht="15.75" customHeight="1" x14ac:dyDescent="0.6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4"/>
      <c r="AL505" s="33"/>
      <c r="AM505" s="33"/>
      <c r="AN505" s="33"/>
      <c r="AO505" s="33"/>
    </row>
    <row r="506" spans="1:41" ht="15.75" customHeight="1" x14ac:dyDescent="0.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4"/>
      <c r="AL506" s="33"/>
      <c r="AM506" s="33"/>
      <c r="AN506" s="33"/>
      <c r="AO506" s="33"/>
    </row>
    <row r="507" spans="1:41" ht="15.75" customHeight="1" x14ac:dyDescent="0.6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4"/>
      <c r="AL507" s="33"/>
      <c r="AM507" s="33"/>
      <c r="AN507" s="33"/>
      <c r="AO507" s="33"/>
    </row>
    <row r="508" spans="1:41" ht="15.75" customHeight="1" x14ac:dyDescent="0.6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4"/>
      <c r="AL508" s="33"/>
      <c r="AM508" s="33"/>
      <c r="AN508" s="33"/>
      <c r="AO508" s="33"/>
    </row>
    <row r="509" spans="1:41" ht="15.75" customHeight="1" x14ac:dyDescent="0.6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4"/>
      <c r="AL509" s="33"/>
      <c r="AM509" s="33"/>
      <c r="AN509" s="33"/>
      <c r="AO509" s="33"/>
    </row>
    <row r="510" spans="1:41" ht="15.75" customHeight="1" x14ac:dyDescent="0.6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4"/>
      <c r="AL510" s="33"/>
      <c r="AM510" s="33"/>
      <c r="AN510" s="33"/>
      <c r="AO510" s="33"/>
    </row>
    <row r="511" spans="1:41" ht="15.75" customHeight="1" x14ac:dyDescent="0.6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4"/>
      <c r="AL511" s="33"/>
      <c r="AM511" s="33"/>
      <c r="AN511" s="33"/>
      <c r="AO511" s="33"/>
    </row>
    <row r="512" spans="1:41" ht="15.75" customHeight="1" x14ac:dyDescent="0.6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4"/>
      <c r="AL512" s="33"/>
      <c r="AM512" s="33"/>
      <c r="AN512" s="33"/>
      <c r="AO512" s="33"/>
    </row>
    <row r="513" spans="1:41" ht="15.75" customHeight="1" x14ac:dyDescent="0.6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4"/>
      <c r="AL513" s="33"/>
      <c r="AM513" s="33"/>
      <c r="AN513" s="33"/>
      <c r="AO513" s="33"/>
    </row>
    <row r="514" spans="1:41" ht="15.75" customHeight="1" x14ac:dyDescent="0.6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4"/>
      <c r="AL514" s="33"/>
      <c r="AM514" s="33"/>
      <c r="AN514" s="33"/>
      <c r="AO514" s="33"/>
    </row>
    <row r="515" spans="1:41" ht="15.75" customHeight="1" x14ac:dyDescent="0.6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4"/>
      <c r="AL515" s="33"/>
      <c r="AM515" s="33"/>
      <c r="AN515" s="33"/>
      <c r="AO515" s="33"/>
    </row>
    <row r="516" spans="1:41" ht="15.75" customHeight="1" x14ac:dyDescent="0.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4"/>
      <c r="AL516" s="33"/>
      <c r="AM516" s="33"/>
      <c r="AN516" s="33"/>
      <c r="AO516" s="33"/>
    </row>
    <row r="517" spans="1:41" ht="15.75" customHeight="1" x14ac:dyDescent="0.6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4"/>
      <c r="AL517" s="33"/>
      <c r="AM517" s="33"/>
      <c r="AN517" s="33"/>
      <c r="AO517" s="33"/>
    </row>
    <row r="518" spans="1:41" ht="15.75" customHeight="1" x14ac:dyDescent="0.6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4"/>
      <c r="AL518" s="33"/>
      <c r="AM518" s="33"/>
      <c r="AN518" s="33"/>
      <c r="AO518" s="33"/>
    </row>
    <row r="519" spans="1:41" ht="15.75" customHeight="1" x14ac:dyDescent="0.6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4"/>
      <c r="AL519" s="33"/>
      <c r="AM519" s="33"/>
      <c r="AN519" s="33"/>
      <c r="AO519" s="33"/>
    </row>
    <row r="520" spans="1:41" ht="15.75" customHeight="1" x14ac:dyDescent="0.6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4"/>
      <c r="AL520" s="33"/>
      <c r="AM520" s="33"/>
      <c r="AN520" s="33"/>
      <c r="AO520" s="33"/>
    </row>
    <row r="521" spans="1:41" ht="15.75" customHeight="1" x14ac:dyDescent="0.6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4"/>
      <c r="AL521" s="33"/>
      <c r="AM521" s="33"/>
      <c r="AN521" s="33"/>
      <c r="AO521" s="33"/>
    </row>
    <row r="522" spans="1:41" ht="15.75" customHeight="1" x14ac:dyDescent="0.6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4"/>
      <c r="AL522" s="33"/>
      <c r="AM522" s="33"/>
      <c r="AN522" s="33"/>
      <c r="AO522" s="33"/>
    </row>
    <row r="523" spans="1:41" ht="15.75" customHeight="1" x14ac:dyDescent="0.6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4"/>
      <c r="AL523" s="33"/>
      <c r="AM523" s="33"/>
      <c r="AN523" s="33"/>
      <c r="AO523" s="33"/>
    </row>
    <row r="524" spans="1:41" ht="15.75" customHeight="1" x14ac:dyDescent="0.6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4"/>
      <c r="AL524" s="33"/>
      <c r="AM524" s="33"/>
      <c r="AN524" s="33"/>
      <c r="AO524" s="33"/>
    </row>
    <row r="525" spans="1:41" ht="15.75" customHeight="1" x14ac:dyDescent="0.6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4"/>
      <c r="AL525" s="33"/>
      <c r="AM525" s="33"/>
      <c r="AN525" s="33"/>
      <c r="AO525" s="33"/>
    </row>
    <row r="526" spans="1:41" ht="15.75" customHeight="1" x14ac:dyDescent="0.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4"/>
      <c r="AL526" s="33"/>
      <c r="AM526" s="33"/>
      <c r="AN526" s="33"/>
      <c r="AO526" s="33"/>
    </row>
    <row r="527" spans="1:41" ht="15.75" customHeight="1" x14ac:dyDescent="0.6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4"/>
      <c r="AL527" s="33"/>
      <c r="AM527" s="33"/>
      <c r="AN527" s="33"/>
      <c r="AO527" s="33"/>
    </row>
    <row r="528" spans="1:41" ht="15.75" customHeight="1" x14ac:dyDescent="0.6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4"/>
      <c r="AL528" s="33"/>
      <c r="AM528" s="33"/>
      <c r="AN528" s="33"/>
      <c r="AO528" s="33"/>
    </row>
    <row r="529" spans="1:41" ht="15.75" customHeight="1" x14ac:dyDescent="0.6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4"/>
      <c r="AL529" s="33"/>
      <c r="AM529" s="33"/>
      <c r="AN529" s="33"/>
      <c r="AO529" s="33"/>
    </row>
    <row r="530" spans="1:41" ht="15.75" customHeight="1" x14ac:dyDescent="0.6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4"/>
      <c r="AL530" s="33"/>
      <c r="AM530" s="33"/>
      <c r="AN530" s="33"/>
      <c r="AO530" s="33"/>
    </row>
    <row r="531" spans="1:41" ht="15.75" customHeight="1" x14ac:dyDescent="0.6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4"/>
      <c r="AL531" s="33"/>
      <c r="AM531" s="33"/>
      <c r="AN531" s="33"/>
      <c r="AO531" s="33"/>
    </row>
    <row r="532" spans="1:41" ht="15.75" customHeight="1" x14ac:dyDescent="0.6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4"/>
      <c r="AL532" s="33"/>
      <c r="AM532" s="33"/>
      <c r="AN532" s="33"/>
      <c r="AO532" s="33"/>
    </row>
    <row r="533" spans="1:41" ht="15.75" customHeight="1" x14ac:dyDescent="0.6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4"/>
      <c r="AL533" s="33"/>
      <c r="AM533" s="33"/>
      <c r="AN533" s="33"/>
      <c r="AO533" s="33"/>
    </row>
    <row r="534" spans="1:41" ht="15.75" customHeight="1" x14ac:dyDescent="0.6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4"/>
      <c r="AL534" s="33"/>
      <c r="AM534" s="33"/>
      <c r="AN534" s="33"/>
      <c r="AO534" s="33"/>
    </row>
    <row r="535" spans="1:41" ht="15.75" customHeight="1" x14ac:dyDescent="0.6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4"/>
      <c r="AL535" s="33"/>
      <c r="AM535" s="33"/>
      <c r="AN535" s="33"/>
      <c r="AO535" s="33"/>
    </row>
    <row r="536" spans="1:41" ht="15.75" customHeight="1" x14ac:dyDescent="0.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4"/>
      <c r="AL536" s="33"/>
      <c r="AM536" s="33"/>
      <c r="AN536" s="33"/>
      <c r="AO536" s="33"/>
    </row>
    <row r="537" spans="1:41" ht="15.75" customHeight="1" x14ac:dyDescent="0.6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4"/>
      <c r="AL537" s="33"/>
      <c r="AM537" s="33"/>
      <c r="AN537" s="33"/>
      <c r="AO537" s="33"/>
    </row>
    <row r="538" spans="1:41" ht="15.75" customHeight="1" x14ac:dyDescent="0.6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4"/>
      <c r="AL538" s="33"/>
      <c r="AM538" s="33"/>
      <c r="AN538" s="33"/>
      <c r="AO538" s="33"/>
    </row>
    <row r="539" spans="1:41" ht="15.75" customHeight="1" x14ac:dyDescent="0.6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4"/>
      <c r="AL539" s="33"/>
      <c r="AM539" s="33"/>
      <c r="AN539" s="33"/>
      <c r="AO539" s="33"/>
    </row>
    <row r="540" spans="1:41" ht="15.75" customHeight="1" x14ac:dyDescent="0.6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4"/>
      <c r="AL540" s="33"/>
      <c r="AM540" s="33"/>
      <c r="AN540" s="33"/>
      <c r="AO540" s="33"/>
    </row>
    <row r="541" spans="1:41" ht="15.75" customHeight="1" x14ac:dyDescent="0.6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4"/>
      <c r="AL541" s="33"/>
      <c r="AM541" s="33"/>
      <c r="AN541" s="33"/>
      <c r="AO541" s="33"/>
    </row>
    <row r="542" spans="1:41" ht="15.75" customHeight="1" x14ac:dyDescent="0.6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4"/>
      <c r="AL542" s="33"/>
      <c r="AM542" s="33"/>
      <c r="AN542" s="33"/>
      <c r="AO542" s="33"/>
    </row>
    <row r="543" spans="1:41" ht="15.75" customHeight="1" x14ac:dyDescent="0.6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4"/>
      <c r="AL543" s="33"/>
      <c r="AM543" s="33"/>
      <c r="AN543" s="33"/>
      <c r="AO543" s="33"/>
    </row>
    <row r="544" spans="1:41" ht="15.75" customHeight="1" x14ac:dyDescent="0.6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4"/>
      <c r="AL544" s="33"/>
      <c r="AM544" s="33"/>
      <c r="AN544" s="33"/>
      <c r="AO544" s="33"/>
    </row>
    <row r="545" spans="1:41" ht="15.75" customHeight="1" x14ac:dyDescent="0.6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4"/>
      <c r="AL545" s="33"/>
      <c r="AM545" s="33"/>
      <c r="AN545" s="33"/>
      <c r="AO545" s="33"/>
    </row>
    <row r="546" spans="1:41" ht="15.75" customHeight="1" x14ac:dyDescent="0.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4"/>
      <c r="AL546" s="33"/>
      <c r="AM546" s="33"/>
      <c r="AN546" s="33"/>
      <c r="AO546" s="33"/>
    </row>
    <row r="547" spans="1:41" ht="15.75" customHeight="1" x14ac:dyDescent="0.6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4"/>
      <c r="AL547" s="33"/>
      <c r="AM547" s="33"/>
      <c r="AN547" s="33"/>
      <c r="AO547" s="33"/>
    </row>
    <row r="548" spans="1:41" ht="15.75" customHeight="1" x14ac:dyDescent="0.6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4"/>
      <c r="AL548" s="33"/>
      <c r="AM548" s="33"/>
      <c r="AN548" s="33"/>
      <c r="AO548" s="33"/>
    </row>
    <row r="549" spans="1:41" ht="15.75" customHeight="1" x14ac:dyDescent="0.6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4"/>
      <c r="AL549" s="33"/>
      <c r="AM549" s="33"/>
      <c r="AN549" s="33"/>
      <c r="AO549" s="33"/>
    </row>
    <row r="550" spans="1:41" ht="15.75" customHeight="1" x14ac:dyDescent="0.6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4"/>
      <c r="AL550" s="33"/>
      <c r="AM550" s="33"/>
      <c r="AN550" s="33"/>
      <c r="AO550" s="33"/>
    </row>
    <row r="551" spans="1:41" ht="15.75" customHeight="1" x14ac:dyDescent="0.6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4"/>
      <c r="AL551" s="33"/>
      <c r="AM551" s="33"/>
      <c r="AN551" s="33"/>
      <c r="AO551" s="33"/>
    </row>
    <row r="552" spans="1:41" ht="15.75" customHeight="1" x14ac:dyDescent="0.6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4"/>
      <c r="AL552" s="33"/>
      <c r="AM552" s="33"/>
      <c r="AN552" s="33"/>
      <c r="AO552" s="33"/>
    </row>
    <row r="553" spans="1:41" ht="15.75" customHeight="1" x14ac:dyDescent="0.6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4"/>
      <c r="AL553" s="33"/>
      <c r="AM553" s="33"/>
      <c r="AN553" s="33"/>
      <c r="AO553" s="33"/>
    </row>
    <row r="554" spans="1:41" ht="15.75" customHeight="1" x14ac:dyDescent="0.6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4"/>
      <c r="AL554" s="33"/>
      <c r="AM554" s="33"/>
      <c r="AN554" s="33"/>
      <c r="AO554" s="33"/>
    </row>
    <row r="555" spans="1:41" ht="15.75" customHeight="1" x14ac:dyDescent="0.6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4"/>
      <c r="AL555" s="33"/>
      <c r="AM555" s="33"/>
      <c r="AN555" s="33"/>
      <c r="AO555" s="33"/>
    </row>
    <row r="556" spans="1:41" ht="15.75" customHeight="1" x14ac:dyDescent="0.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4"/>
      <c r="AL556" s="33"/>
      <c r="AM556" s="33"/>
      <c r="AN556" s="33"/>
      <c r="AO556" s="33"/>
    </row>
    <row r="557" spans="1:41" ht="15.75" customHeight="1" x14ac:dyDescent="0.6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4"/>
      <c r="AL557" s="33"/>
      <c r="AM557" s="33"/>
      <c r="AN557" s="33"/>
      <c r="AO557" s="33"/>
    </row>
    <row r="558" spans="1:41" ht="15.75" customHeight="1" x14ac:dyDescent="0.6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4"/>
      <c r="AL558" s="33"/>
      <c r="AM558" s="33"/>
      <c r="AN558" s="33"/>
      <c r="AO558" s="33"/>
    </row>
    <row r="559" spans="1:41" ht="15.75" customHeight="1" x14ac:dyDescent="0.6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4"/>
      <c r="AL559" s="33"/>
      <c r="AM559" s="33"/>
      <c r="AN559" s="33"/>
      <c r="AO559" s="33"/>
    </row>
    <row r="560" spans="1:41" ht="15.75" customHeight="1" x14ac:dyDescent="0.6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4"/>
      <c r="AL560" s="33"/>
      <c r="AM560" s="33"/>
      <c r="AN560" s="33"/>
      <c r="AO560" s="33"/>
    </row>
    <row r="561" spans="1:41" ht="15.75" customHeight="1" x14ac:dyDescent="0.6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4"/>
      <c r="AL561" s="33"/>
      <c r="AM561" s="33"/>
      <c r="AN561" s="33"/>
      <c r="AO561" s="33"/>
    </row>
    <row r="562" spans="1:41" ht="15.75" customHeight="1" x14ac:dyDescent="0.6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4"/>
      <c r="AL562" s="33"/>
      <c r="AM562" s="33"/>
      <c r="AN562" s="33"/>
      <c r="AO562" s="33"/>
    </row>
    <row r="563" spans="1:41" ht="15.75" customHeight="1" x14ac:dyDescent="0.6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4"/>
      <c r="AL563" s="33"/>
      <c r="AM563" s="33"/>
      <c r="AN563" s="33"/>
      <c r="AO563" s="33"/>
    </row>
    <row r="564" spans="1:41" ht="15.75" customHeight="1" x14ac:dyDescent="0.6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4"/>
      <c r="AL564" s="33"/>
      <c r="AM564" s="33"/>
      <c r="AN564" s="33"/>
      <c r="AO564" s="33"/>
    </row>
    <row r="565" spans="1:41" ht="15.75" customHeight="1" x14ac:dyDescent="0.6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4"/>
      <c r="AL565" s="33"/>
      <c r="AM565" s="33"/>
      <c r="AN565" s="33"/>
      <c r="AO565" s="33"/>
    </row>
    <row r="566" spans="1:41" ht="15.75" customHeight="1" x14ac:dyDescent="0.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4"/>
      <c r="AL566" s="33"/>
      <c r="AM566" s="33"/>
      <c r="AN566" s="33"/>
      <c r="AO566" s="33"/>
    </row>
    <row r="567" spans="1:41" ht="15.75" customHeight="1" x14ac:dyDescent="0.6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4"/>
      <c r="AL567" s="33"/>
      <c r="AM567" s="33"/>
      <c r="AN567" s="33"/>
      <c r="AO567" s="33"/>
    </row>
    <row r="568" spans="1:41" ht="15.75" customHeight="1" x14ac:dyDescent="0.6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4"/>
      <c r="AL568" s="33"/>
      <c r="AM568" s="33"/>
      <c r="AN568" s="33"/>
      <c r="AO568" s="33"/>
    </row>
    <row r="569" spans="1:41" ht="15.75" customHeight="1" x14ac:dyDescent="0.6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4"/>
      <c r="AL569" s="33"/>
      <c r="AM569" s="33"/>
      <c r="AN569" s="33"/>
      <c r="AO569" s="33"/>
    </row>
    <row r="570" spans="1:41" ht="15.75" customHeight="1" x14ac:dyDescent="0.6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4"/>
      <c r="AL570" s="33"/>
      <c r="AM570" s="33"/>
      <c r="AN570" s="33"/>
      <c r="AO570" s="33"/>
    </row>
    <row r="571" spans="1:41" ht="15.75" customHeight="1" x14ac:dyDescent="0.6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4"/>
      <c r="AL571" s="33"/>
      <c r="AM571" s="33"/>
      <c r="AN571" s="33"/>
      <c r="AO571" s="33"/>
    </row>
    <row r="572" spans="1:41" ht="15.75" customHeight="1" x14ac:dyDescent="0.6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4"/>
      <c r="AL572" s="33"/>
      <c r="AM572" s="33"/>
      <c r="AN572" s="33"/>
      <c r="AO572" s="33"/>
    </row>
    <row r="573" spans="1:41" ht="15.75" customHeight="1" x14ac:dyDescent="0.6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4"/>
      <c r="AL573" s="33"/>
      <c r="AM573" s="33"/>
      <c r="AN573" s="33"/>
      <c r="AO573" s="33"/>
    </row>
    <row r="574" spans="1:41" ht="15.75" customHeight="1" x14ac:dyDescent="0.6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4"/>
      <c r="AL574" s="33"/>
      <c r="AM574" s="33"/>
      <c r="AN574" s="33"/>
      <c r="AO574" s="33"/>
    </row>
    <row r="575" spans="1:41" ht="15.75" customHeight="1" x14ac:dyDescent="0.6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4"/>
      <c r="AL575" s="33"/>
      <c r="AM575" s="33"/>
      <c r="AN575" s="33"/>
      <c r="AO575" s="33"/>
    </row>
    <row r="576" spans="1:41" ht="15.75" customHeight="1" x14ac:dyDescent="0.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4"/>
      <c r="AL576" s="33"/>
      <c r="AM576" s="33"/>
      <c r="AN576" s="33"/>
      <c r="AO576" s="33"/>
    </row>
    <row r="577" spans="1:41" ht="15.75" customHeight="1" x14ac:dyDescent="0.6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4"/>
      <c r="AL577" s="33"/>
      <c r="AM577" s="33"/>
      <c r="AN577" s="33"/>
      <c r="AO577" s="33"/>
    </row>
    <row r="578" spans="1:41" ht="15.75" customHeight="1" x14ac:dyDescent="0.6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4"/>
      <c r="AL578" s="33"/>
      <c r="AM578" s="33"/>
      <c r="AN578" s="33"/>
      <c r="AO578" s="33"/>
    </row>
    <row r="579" spans="1:41" ht="15.75" customHeight="1" x14ac:dyDescent="0.6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4"/>
      <c r="AL579" s="33"/>
      <c r="AM579" s="33"/>
      <c r="AN579" s="33"/>
      <c r="AO579" s="33"/>
    </row>
    <row r="580" spans="1:41" ht="15.75" customHeight="1" x14ac:dyDescent="0.6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4"/>
      <c r="AL580" s="33"/>
      <c r="AM580" s="33"/>
      <c r="AN580" s="33"/>
      <c r="AO580" s="33"/>
    </row>
    <row r="581" spans="1:41" ht="15.75" customHeight="1" x14ac:dyDescent="0.6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4"/>
      <c r="AL581" s="33"/>
      <c r="AM581" s="33"/>
      <c r="AN581" s="33"/>
      <c r="AO581" s="33"/>
    </row>
    <row r="582" spans="1:41" ht="15.75" customHeight="1" x14ac:dyDescent="0.6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4"/>
      <c r="AL582" s="33"/>
      <c r="AM582" s="33"/>
      <c r="AN582" s="33"/>
      <c r="AO582" s="33"/>
    </row>
    <row r="583" spans="1:41" ht="15.75" customHeight="1" x14ac:dyDescent="0.6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4"/>
      <c r="AL583" s="33"/>
      <c r="AM583" s="33"/>
      <c r="AN583" s="33"/>
      <c r="AO583" s="33"/>
    </row>
    <row r="584" spans="1:41" ht="15.75" customHeight="1" x14ac:dyDescent="0.6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4"/>
      <c r="AL584" s="33"/>
      <c r="AM584" s="33"/>
      <c r="AN584" s="33"/>
      <c r="AO584" s="33"/>
    </row>
    <row r="585" spans="1:41" ht="15.75" customHeight="1" x14ac:dyDescent="0.6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4"/>
      <c r="AL585" s="33"/>
      <c r="AM585" s="33"/>
      <c r="AN585" s="33"/>
      <c r="AO585" s="33"/>
    </row>
    <row r="586" spans="1:41" ht="15.75" customHeight="1" x14ac:dyDescent="0.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4"/>
      <c r="AL586" s="33"/>
      <c r="AM586" s="33"/>
      <c r="AN586" s="33"/>
      <c r="AO586" s="33"/>
    </row>
    <row r="587" spans="1:41" ht="15.75" customHeight="1" x14ac:dyDescent="0.6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4"/>
      <c r="AL587" s="33"/>
      <c r="AM587" s="33"/>
      <c r="AN587" s="33"/>
      <c r="AO587" s="33"/>
    </row>
    <row r="588" spans="1:41" ht="15.75" customHeight="1" x14ac:dyDescent="0.6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4"/>
      <c r="AL588" s="33"/>
      <c r="AM588" s="33"/>
      <c r="AN588" s="33"/>
      <c r="AO588" s="33"/>
    </row>
    <row r="589" spans="1:41" ht="15.75" customHeight="1" x14ac:dyDescent="0.6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4"/>
      <c r="AL589" s="33"/>
      <c r="AM589" s="33"/>
      <c r="AN589" s="33"/>
      <c r="AO589" s="33"/>
    </row>
    <row r="590" spans="1:41" ht="15.75" customHeight="1" x14ac:dyDescent="0.6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4"/>
      <c r="AL590" s="33"/>
      <c r="AM590" s="33"/>
      <c r="AN590" s="33"/>
      <c r="AO590" s="33"/>
    </row>
    <row r="591" spans="1:41" ht="15.75" customHeight="1" x14ac:dyDescent="0.6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4"/>
      <c r="AL591" s="33"/>
      <c r="AM591" s="33"/>
      <c r="AN591" s="33"/>
      <c r="AO591" s="33"/>
    </row>
    <row r="592" spans="1:41" ht="15.75" customHeight="1" x14ac:dyDescent="0.6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4"/>
      <c r="AL592" s="33"/>
      <c r="AM592" s="33"/>
      <c r="AN592" s="33"/>
      <c r="AO592" s="33"/>
    </row>
    <row r="593" spans="1:41" ht="15.75" customHeight="1" x14ac:dyDescent="0.6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4"/>
      <c r="AL593" s="33"/>
      <c r="AM593" s="33"/>
      <c r="AN593" s="33"/>
      <c r="AO593" s="33"/>
    </row>
    <row r="594" spans="1:41" ht="15.75" customHeight="1" x14ac:dyDescent="0.6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4"/>
      <c r="AL594" s="33"/>
      <c r="AM594" s="33"/>
      <c r="AN594" s="33"/>
      <c r="AO594" s="33"/>
    </row>
    <row r="595" spans="1:41" ht="15.75" customHeight="1" x14ac:dyDescent="0.6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4"/>
      <c r="AL595" s="33"/>
      <c r="AM595" s="33"/>
      <c r="AN595" s="33"/>
      <c r="AO595" s="33"/>
    </row>
    <row r="596" spans="1:41" ht="15.75" customHeight="1" x14ac:dyDescent="0.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4"/>
      <c r="AL596" s="33"/>
      <c r="AM596" s="33"/>
      <c r="AN596" s="33"/>
      <c r="AO596" s="33"/>
    </row>
    <row r="597" spans="1:41" ht="15.75" customHeight="1" x14ac:dyDescent="0.6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4"/>
      <c r="AL597" s="33"/>
      <c r="AM597" s="33"/>
      <c r="AN597" s="33"/>
      <c r="AO597" s="33"/>
    </row>
    <row r="598" spans="1:41" ht="15.75" customHeight="1" x14ac:dyDescent="0.6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4"/>
      <c r="AL598" s="33"/>
      <c r="AM598" s="33"/>
      <c r="AN598" s="33"/>
      <c r="AO598" s="33"/>
    </row>
    <row r="599" spans="1:41" ht="15.75" customHeight="1" x14ac:dyDescent="0.6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4"/>
      <c r="AL599" s="33"/>
      <c r="AM599" s="33"/>
      <c r="AN599" s="33"/>
      <c r="AO599" s="33"/>
    </row>
    <row r="600" spans="1:41" ht="15.75" customHeight="1" x14ac:dyDescent="0.6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4"/>
      <c r="AL600" s="33"/>
      <c r="AM600" s="33"/>
      <c r="AN600" s="33"/>
      <c r="AO600" s="33"/>
    </row>
    <row r="601" spans="1:41" ht="15.75" customHeight="1" x14ac:dyDescent="0.6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4"/>
      <c r="AL601" s="33"/>
      <c r="AM601" s="33"/>
      <c r="AN601" s="33"/>
      <c r="AO601" s="33"/>
    </row>
    <row r="602" spans="1:41" ht="15.75" customHeight="1" x14ac:dyDescent="0.6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4"/>
      <c r="AL602" s="33"/>
      <c r="AM602" s="33"/>
      <c r="AN602" s="33"/>
      <c r="AO602" s="33"/>
    </row>
    <row r="603" spans="1:41" ht="15.75" customHeight="1" x14ac:dyDescent="0.6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4"/>
      <c r="AL603" s="33"/>
      <c r="AM603" s="33"/>
      <c r="AN603" s="33"/>
      <c r="AO603" s="33"/>
    </row>
    <row r="604" spans="1:41" ht="15.75" customHeight="1" x14ac:dyDescent="0.6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4"/>
      <c r="AL604" s="33"/>
      <c r="AM604" s="33"/>
      <c r="AN604" s="33"/>
      <c r="AO604" s="33"/>
    </row>
    <row r="605" spans="1:41" ht="15.75" customHeight="1" x14ac:dyDescent="0.6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4"/>
      <c r="AL605" s="33"/>
      <c r="AM605" s="33"/>
      <c r="AN605" s="33"/>
      <c r="AO605" s="33"/>
    </row>
    <row r="606" spans="1:41" ht="15.75" customHeight="1" x14ac:dyDescent="0.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4"/>
      <c r="AL606" s="33"/>
      <c r="AM606" s="33"/>
      <c r="AN606" s="33"/>
      <c r="AO606" s="33"/>
    </row>
    <row r="607" spans="1:41" ht="15.75" customHeight="1" x14ac:dyDescent="0.6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4"/>
      <c r="AL607" s="33"/>
      <c r="AM607" s="33"/>
      <c r="AN607" s="33"/>
      <c r="AO607" s="33"/>
    </row>
    <row r="608" spans="1:41" ht="15.75" customHeight="1" x14ac:dyDescent="0.6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4"/>
      <c r="AL608" s="33"/>
      <c r="AM608" s="33"/>
      <c r="AN608" s="33"/>
      <c r="AO608" s="33"/>
    </row>
    <row r="609" spans="1:41" ht="15.75" customHeight="1" x14ac:dyDescent="0.6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4"/>
      <c r="AL609" s="33"/>
      <c r="AM609" s="33"/>
      <c r="AN609" s="33"/>
      <c r="AO609" s="33"/>
    </row>
    <row r="610" spans="1:41" ht="15.75" customHeight="1" x14ac:dyDescent="0.6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4"/>
      <c r="AL610" s="33"/>
      <c r="AM610" s="33"/>
      <c r="AN610" s="33"/>
      <c r="AO610" s="33"/>
    </row>
    <row r="611" spans="1:41" ht="15.75" customHeight="1" x14ac:dyDescent="0.6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4"/>
      <c r="AL611" s="33"/>
      <c r="AM611" s="33"/>
      <c r="AN611" s="33"/>
      <c r="AO611" s="33"/>
    </row>
    <row r="612" spans="1:41" ht="15.75" customHeight="1" x14ac:dyDescent="0.6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4"/>
      <c r="AL612" s="33"/>
      <c r="AM612" s="33"/>
      <c r="AN612" s="33"/>
      <c r="AO612" s="33"/>
    </row>
    <row r="613" spans="1:41" ht="15.75" customHeight="1" x14ac:dyDescent="0.6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4"/>
      <c r="AL613" s="33"/>
      <c r="AM613" s="33"/>
      <c r="AN613" s="33"/>
      <c r="AO613" s="33"/>
    </row>
    <row r="614" spans="1:41" ht="15.75" customHeight="1" x14ac:dyDescent="0.6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4"/>
      <c r="AL614" s="33"/>
      <c r="AM614" s="33"/>
      <c r="AN614" s="33"/>
      <c r="AO614" s="33"/>
    </row>
    <row r="615" spans="1:41" ht="15.75" customHeight="1" x14ac:dyDescent="0.6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4"/>
      <c r="AL615" s="33"/>
      <c r="AM615" s="33"/>
      <c r="AN615" s="33"/>
      <c r="AO615" s="33"/>
    </row>
    <row r="616" spans="1:41" ht="15.75" customHeight="1" x14ac:dyDescent="0.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4"/>
      <c r="AL616" s="33"/>
      <c r="AM616" s="33"/>
      <c r="AN616" s="33"/>
      <c r="AO616" s="33"/>
    </row>
    <row r="617" spans="1:41" ht="15.75" customHeight="1" x14ac:dyDescent="0.6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4"/>
      <c r="AL617" s="33"/>
      <c r="AM617" s="33"/>
      <c r="AN617" s="33"/>
      <c r="AO617" s="33"/>
    </row>
    <row r="618" spans="1:41" ht="15.75" customHeight="1" x14ac:dyDescent="0.6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4"/>
      <c r="AL618" s="33"/>
      <c r="AM618" s="33"/>
      <c r="AN618" s="33"/>
      <c r="AO618" s="33"/>
    </row>
    <row r="619" spans="1:41" ht="15.75" customHeight="1" x14ac:dyDescent="0.6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4"/>
      <c r="AL619" s="33"/>
      <c r="AM619" s="33"/>
      <c r="AN619" s="33"/>
      <c r="AO619" s="33"/>
    </row>
    <row r="620" spans="1:41" ht="15.75" customHeight="1" x14ac:dyDescent="0.6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4"/>
      <c r="AL620" s="33"/>
      <c r="AM620" s="33"/>
      <c r="AN620" s="33"/>
      <c r="AO620" s="33"/>
    </row>
    <row r="621" spans="1:41" ht="15.75" customHeight="1" x14ac:dyDescent="0.6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4"/>
      <c r="AL621" s="33"/>
      <c r="AM621" s="33"/>
      <c r="AN621" s="33"/>
      <c r="AO621" s="33"/>
    </row>
    <row r="622" spans="1:41" ht="15.75" customHeight="1" x14ac:dyDescent="0.6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4"/>
      <c r="AL622" s="33"/>
      <c r="AM622" s="33"/>
      <c r="AN622" s="33"/>
      <c r="AO622" s="33"/>
    </row>
    <row r="623" spans="1:41" ht="15.75" customHeight="1" x14ac:dyDescent="0.6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4"/>
      <c r="AL623" s="33"/>
      <c r="AM623" s="33"/>
      <c r="AN623" s="33"/>
      <c r="AO623" s="33"/>
    </row>
    <row r="624" spans="1:41" ht="15.75" customHeight="1" x14ac:dyDescent="0.6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4"/>
      <c r="AL624" s="33"/>
      <c r="AM624" s="33"/>
      <c r="AN624" s="33"/>
      <c r="AO624" s="33"/>
    </row>
    <row r="625" spans="1:41" ht="15.75" customHeight="1" x14ac:dyDescent="0.6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4"/>
      <c r="AL625" s="33"/>
      <c r="AM625" s="33"/>
      <c r="AN625" s="33"/>
      <c r="AO625" s="33"/>
    </row>
    <row r="626" spans="1:41" ht="15.75" customHeight="1" x14ac:dyDescent="0.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4"/>
      <c r="AL626" s="33"/>
      <c r="AM626" s="33"/>
      <c r="AN626" s="33"/>
      <c r="AO626" s="33"/>
    </row>
    <row r="627" spans="1:41" ht="15.75" customHeight="1" x14ac:dyDescent="0.6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4"/>
      <c r="AL627" s="33"/>
      <c r="AM627" s="33"/>
      <c r="AN627" s="33"/>
      <c r="AO627" s="33"/>
    </row>
    <row r="628" spans="1:41" ht="15.75" customHeight="1" x14ac:dyDescent="0.6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4"/>
      <c r="AL628" s="33"/>
      <c r="AM628" s="33"/>
      <c r="AN628" s="33"/>
      <c r="AO628" s="33"/>
    </row>
    <row r="629" spans="1:41" ht="15.75" customHeight="1" x14ac:dyDescent="0.6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4"/>
      <c r="AL629" s="33"/>
      <c r="AM629" s="33"/>
      <c r="AN629" s="33"/>
      <c r="AO629" s="33"/>
    </row>
    <row r="630" spans="1:41" ht="15.75" customHeight="1" x14ac:dyDescent="0.6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4"/>
      <c r="AL630" s="33"/>
      <c r="AM630" s="33"/>
      <c r="AN630" s="33"/>
      <c r="AO630" s="33"/>
    </row>
    <row r="631" spans="1:41" ht="15.75" customHeight="1" x14ac:dyDescent="0.6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4"/>
      <c r="AL631" s="33"/>
      <c r="AM631" s="33"/>
      <c r="AN631" s="33"/>
      <c r="AO631" s="33"/>
    </row>
    <row r="632" spans="1:41" ht="15.75" customHeight="1" x14ac:dyDescent="0.6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4"/>
      <c r="AL632" s="33"/>
      <c r="AM632" s="33"/>
      <c r="AN632" s="33"/>
      <c r="AO632" s="33"/>
    </row>
    <row r="633" spans="1:41" ht="15.75" customHeight="1" x14ac:dyDescent="0.6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4"/>
      <c r="AL633" s="33"/>
      <c r="AM633" s="33"/>
      <c r="AN633" s="33"/>
      <c r="AO633" s="33"/>
    </row>
    <row r="634" spans="1:41" ht="15.75" customHeight="1" x14ac:dyDescent="0.6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4"/>
      <c r="AL634" s="33"/>
      <c r="AM634" s="33"/>
      <c r="AN634" s="33"/>
      <c r="AO634" s="33"/>
    </row>
    <row r="635" spans="1:41" ht="15.75" customHeight="1" x14ac:dyDescent="0.6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4"/>
      <c r="AL635" s="33"/>
      <c r="AM635" s="33"/>
      <c r="AN635" s="33"/>
      <c r="AO635" s="33"/>
    </row>
    <row r="636" spans="1:41" ht="15.75" customHeight="1" x14ac:dyDescent="0.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4"/>
      <c r="AL636" s="33"/>
      <c r="AM636" s="33"/>
      <c r="AN636" s="33"/>
      <c r="AO636" s="33"/>
    </row>
    <row r="637" spans="1:41" ht="15.75" customHeight="1" x14ac:dyDescent="0.6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4"/>
      <c r="AL637" s="33"/>
      <c r="AM637" s="33"/>
      <c r="AN637" s="33"/>
      <c r="AO637" s="33"/>
    </row>
    <row r="638" spans="1:41" ht="15.75" customHeight="1" x14ac:dyDescent="0.6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4"/>
      <c r="AL638" s="33"/>
      <c r="AM638" s="33"/>
      <c r="AN638" s="33"/>
      <c r="AO638" s="33"/>
    </row>
    <row r="639" spans="1:41" ht="15.75" customHeight="1" x14ac:dyDescent="0.6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4"/>
      <c r="AL639" s="33"/>
      <c r="AM639" s="33"/>
      <c r="AN639" s="33"/>
      <c r="AO639" s="33"/>
    </row>
    <row r="640" spans="1:41" ht="15.75" customHeight="1" x14ac:dyDescent="0.6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4"/>
      <c r="AL640" s="33"/>
      <c r="AM640" s="33"/>
      <c r="AN640" s="33"/>
      <c r="AO640" s="33"/>
    </row>
    <row r="641" spans="1:41" ht="15.75" customHeight="1" x14ac:dyDescent="0.6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4"/>
      <c r="AL641" s="33"/>
      <c r="AM641" s="33"/>
      <c r="AN641" s="33"/>
      <c r="AO641" s="33"/>
    </row>
    <row r="642" spans="1:41" ht="15.75" customHeight="1" x14ac:dyDescent="0.6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4"/>
      <c r="AL642" s="33"/>
      <c r="AM642" s="33"/>
      <c r="AN642" s="33"/>
      <c r="AO642" s="33"/>
    </row>
    <row r="643" spans="1:41" ht="15.75" customHeight="1" x14ac:dyDescent="0.6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4"/>
      <c r="AL643" s="33"/>
      <c r="AM643" s="33"/>
      <c r="AN643" s="33"/>
      <c r="AO643" s="33"/>
    </row>
    <row r="644" spans="1:41" ht="15.75" customHeight="1" x14ac:dyDescent="0.6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4"/>
      <c r="AL644" s="33"/>
      <c r="AM644" s="33"/>
      <c r="AN644" s="33"/>
      <c r="AO644" s="33"/>
    </row>
    <row r="645" spans="1:41" ht="15.75" customHeight="1" x14ac:dyDescent="0.6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4"/>
      <c r="AL645" s="33"/>
      <c r="AM645" s="33"/>
      <c r="AN645" s="33"/>
      <c r="AO645" s="33"/>
    </row>
    <row r="646" spans="1:41" ht="15.75" customHeight="1" x14ac:dyDescent="0.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4"/>
      <c r="AL646" s="33"/>
      <c r="AM646" s="33"/>
      <c r="AN646" s="33"/>
      <c r="AO646" s="33"/>
    </row>
    <row r="647" spans="1:41" ht="15.75" customHeight="1" x14ac:dyDescent="0.6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4"/>
      <c r="AL647" s="33"/>
      <c r="AM647" s="33"/>
      <c r="AN647" s="33"/>
      <c r="AO647" s="33"/>
    </row>
    <row r="648" spans="1:41" ht="15.75" customHeight="1" x14ac:dyDescent="0.6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4"/>
      <c r="AL648" s="33"/>
      <c r="AM648" s="33"/>
      <c r="AN648" s="33"/>
      <c r="AO648" s="33"/>
    </row>
    <row r="649" spans="1:41" ht="15.75" customHeight="1" x14ac:dyDescent="0.6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4"/>
      <c r="AL649" s="33"/>
      <c r="AM649" s="33"/>
      <c r="AN649" s="33"/>
      <c r="AO649" s="33"/>
    </row>
    <row r="650" spans="1:41" ht="15.75" customHeight="1" x14ac:dyDescent="0.6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4"/>
      <c r="AL650" s="33"/>
      <c r="AM650" s="33"/>
      <c r="AN650" s="33"/>
      <c r="AO650" s="33"/>
    </row>
    <row r="651" spans="1:41" ht="15.75" customHeight="1" x14ac:dyDescent="0.6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4"/>
      <c r="AL651" s="33"/>
      <c r="AM651" s="33"/>
      <c r="AN651" s="33"/>
      <c r="AO651" s="33"/>
    </row>
    <row r="652" spans="1:41" ht="15.75" customHeight="1" x14ac:dyDescent="0.6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4"/>
      <c r="AL652" s="33"/>
      <c r="AM652" s="33"/>
      <c r="AN652" s="33"/>
      <c r="AO652" s="33"/>
    </row>
    <row r="653" spans="1:41" ht="15.75" customHeight="1" x14ac:dyDescent="0.6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4"/>
      <c r="AL653" s="33"/>
      <c r="AM653" s="33"/>
      <c r="AN653" s="33"/>
      <c r="AO653" s="33"/>
    </row>
    <row r="654" spans="1:41" ht="15.75" customHeight="1" x14ac:dyDescent="0.6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4"/>
      <c r="AL654" s="33"/>
      <c r="AM654" s="33"/>
      <c r="AN654" s="33"/>
      <c r="AO654" s="33"/>
    </row>
    <row r="655" spans="1:41" ht="15.75" customHeight="1" x14ac:dyDescent="0.6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4"/>
      <c r="AL655" s="33"/>
      <c r="AM655" s="33"/>
      <c r="AN655" s="33"/>
      <c r="AO655" s="33"/>
    </row>
    <row r="656" spans="1:41" ht="15.75" customHeight="1" x14ac:dyDescent="0.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4"/>
      <c r="AL656" s="33"/>
      <c r="AM656" s="33"/>
      <c r="AN656" s="33"/>
      <c r="AO656" s="33"/>
    </row>
    <row r="657" spans="1:41" ht="15.75" customHeight="1" x14ac:dyDescent="0.6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4"/>
      <c r="AL657" s="33"/>
      <c r="AM657" s="33"/>
      <c r="AN657" s="33"/>
      <c r="AO657" s="33"/>
    </row>
    <row r="658" spans="1:41" ht="15.75" customHeight="1" x14ac:dyDescent="0.6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4"/>
      <c r="AL658" s="33"/>
      <c r="AM658" s="33"/>
      <c r="AN658" s="33"/>
      <c r="AO658" s="33"/>
    </row>
    <row r="659" spans="1:41" ht="15.75" customHeight="1" x14ac:dyDescent="0.6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4"/>
      <c r="AL659" s="33"/>
      <c r="AM659" s="33"/>
      <c r="AN659" s="33"/>
      <c r="AO659" s="33"/>
    </row>
    <row r="660" spans="1:41" ht="15.75" customHeight="1" x14ac:dyDescent="0.6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4"/>
      <c r="AL660" s="33"/>
      <c r="AM660" s="33"/>
      <c r="AN660" s="33"/>
      <c r="AO660" s="33"/>
    </row>
    <row r="661" spans="1:41" ht="15.75" customHeight="1" x14ac:dyDescent="0.6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4"/>
      <c r="AL661" s="33"/>
      <c r="AM661" s="33"/>
      <c r="AN661" s="33"/>
      <c r="AO661" s="33"/>
    </row>
    <row r="662" spans="1:41" ht="15.75" customHeight="1" x14ac:dyDescent="0.6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4"/>
      <c r="AL662" s="33"/>
      <c r="AM662" s="33"/>
      <c r="AN662" s="33"/>
      <c r="AO662" s="33"/>
    </row>
    <row r="663" spans="1:41" ht="15.75" customHeight="1" x14ac:dyDescent="0.6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4"/>
      <c r="AL663" s="33"/>
      <c r="AM663" s="33"/>
      <c r="AN663" s="33"/>
      <c r="AO663" s="33"/>
    </row>
    <row r="664" spans="1:41" ht="15.75" customHeight="1" x14ac:dyDescent="0.6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4"/>
      <c r="AL664" s="33"/>
      <c r="AM664" s="33"/>
      <c r="AN664" s="33"/>
      <c r="AO664" s="33"/>
    </row>
    <row r="665" spans="1:41" ht="15.75" customHeight="1" x14ac:dyDescent="0.6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4"/>
      <c r="AL665" s="33"/>
      <c r="AM665" s="33"/>
      <c r="AN665" s="33"/>
      <c r="AO665" s="33"/>
    </row>
    <row r="666" spans="1:41" ht="15.75" customHeight="1" x14ac:dyDescent="0.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4"/>
      <c r="AL666" s="33"/>
      <c r="AM666" s="33"/>
      <c r="AN666" s="33"/>
      <c r="AO666" s="33"/>
    </row>
    <row r="667" spans="1:41" ht="15.75" customHeight="1" x14ac:dyDescent="0.6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4"/>
      <c r="AL667" s="33"/>
      <c r="AM667" s="33"/>
      <c r="AN667" s="33"/>
      <c r="AO667" s="33"/>
    </row>
    <row r="668" spans="1:41" ht="15.75" customHeight="1" x14ac:dyDescent="0.6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4"/>
      <c r="AL668" s="33"/>
      <c r="AM668" s="33"/>
      <c r="AN668" s="33"/>
      <c r="AO668" s="33"/>
    </row>
    <row r="669" spans="1:41" ht="15.75" customHeight="1" x14ac:dyDescent="0.6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4"/>
      <c r="AL669" s="33"/>
      <c r="AM669" s="33"/>
      <c r="AN669" s="33"/>
      <c r="AO669" s="33"/>
    </row>
    <row r="670" spans="1:41" ht="15.75" customHeight="1" x14ac:dyDescent="0.6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4"/>
      <c r="AL670" s="33"/>
      <c r="AM670" s="33"/>
      <c r="AN670" s="33"/>
      <c r="AO670" s="33"/>
    </row>
    <row r="671" spans="1:41" ht="15.75" customHeight="1" x14ac:dyDescent="0.6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4"/>
      <c r="AL671" s="33"/>
      <c r="AM671" s="33"/>
      <c r="AN671" s="33"/>
      <c r="AO671" s="33"/>
    </row>
    <row r="672" spans="1:41" ht="15.75" customHeight="1" x14ac:dyDescent="0.6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4"/>
      <c r="AL672" s="33"/>
      <c r="AM672" s="33"/>
      <c r="AN672" s="33"/>
      <c r="AO672" s="33"/>
    </row>
    <row r="673" spans="1:41" ht="15.75" customHeight="1" x14ac:dyDescent="0.6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4"/>
      <c r="AL673" s="33"/>
      <c r="AM673" s="33"/>
      <c r="AN673" s="33"/>
      <c r="AO673" s="33"/>
    </row>
    <row r="674" spans="1:41" ht="15.75" customHeight="1" x14ac:dyDescent="0.6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4"/>
      <c r="AL674" s="33"/>
      <c r="AM674" s="33"/>
      <c r="AN674" s="33"/>
      <c r="AO674" s="33"/>
    </row>
    <row r="675" spans="1:41" ht="15.75" customHeight="1" x14ac:dyDescent="0.6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4"/>
      <c r="AL675" s="33"/>
      <c r="AM675" s="33"/>
      <c r="AN675" s="33"/>
      <c r="AO675" s="33"/>
    </row>
    <row r="676" spans="1:41" ht="15.75" customHeight="1" x14ac:dyDescent="0.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4"/>
      <c r="AL676" s="33"/>
      <c r="AM676" s="33"/>
      <c r="AN676" s="33"/>
      <c r="AO676" s="33"/>
    </row>
    <row r="677" spans="1:41" ht="15.75" customHeight="1" x14ac:dyDescent="0.6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4"/>
      <c r="AL677" s="33"/>
      <c r="AM677" s="33"/>
      <c r="AN677" s="33"/>
      <c r="AO677" s="33"/>
    </row>
    <row r="678" spans="1:41" ht="15.75" customHeight="1" x14ac:dyDescent="0.6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4"/>
      <c r="AL678" s="33"/>
      <c r="AM678" s="33"/>
      <c r="AN678" s="33"/>
      <c r="AO678" s="33"/>
    </row>
    <row r="679" spans="1:41" ht="15.75" customHeight="1" x14ac:dyDescent="0.6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4"/>
      <c r="AL679" s="33"/>
      <c r="AM679" s="33"/>
      <c r="AN679" s="33"/>
      <c r="AO679" s="33"/>
    </row>
    <row r="680" spans="1:41" ht="15.75" customHeight="1" x14ac:dyDescent="0.6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4"/>
      <c r="AL680" s="33"/>
      <c r="AM680" s="33"/>
      <c r="AN680" s="33"/>
      <c r="AO680" s="33"/>
    </row>
    <row r="681" spans="1:41" ht="15.75" customHeight="1" x14ac:dyDescent="0.6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4"/>
      <c r="AL681" s="33"/>
      <c r="AM681" s="33"/>
      <c r="AN681" s="33"/>
      <c r="AO681" s="33"/>
    </row>
    <row r="682" spans="1:41" ht="15.75" customHeight="1" x14ac:dyDescent="0.6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4"/>
      <c r="AL682" s="33"/>
      <c r="AM682" s="33"/>
      <c r="AN682" s="33"/>
      <c r="AO682" s="33"/>
    </row>
    <row r="683" spans="1:41" ht="15.75" customHeight="1" x14ac:dyDescent="0.6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4"/>
      <c r="AL683" s="33"/>
      <c r="AM683" s="33"/>
      <c r="AN683" s="33"/>
      <c r="AO683" s="33"/>
    </row>
    <row r="684" spans="1:41" ht="15.75" customHeight="1" x14ac:dyDescent="0.6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4"/>
      <c r="AL684" s="33"/>
      <c r="AM684" s="33"/>
      <c r="AN684" s="33"/>
      <c r="AO684" s="33"/>
    </row>
    <row r="685" spans="1:41" ht="15.75" customHeight="1" x14ac:dyDescent="0.6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4"/>
      <c r="AL685" s="33"/>
      <c r="AM685" s="33"/>
      <c r="AN685" s="33"/>
      <c r="AO685" s="33"/>
    </row>
    <row r="686" spans="1:41" ht="15.75" customHeight="1" x14ac:dyDescent="0.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4"/>
      <c r="AL686" s="33"/>
      <c r="AM686" s="33"/>
      <c r="AN686" s="33"/>
      <c r="AO686" s="33"/>
    </row>
    <row r="687" spans="1:41" ht="15.75" customHeight="1" x14ac:dyDescent="0.6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4"/>
      <c r="AL687" s="33"/>
      <c r="AM687" s="33"/>
      <c r="AN687" s="33"/>
      <c r="AO687" s="33"/>
    </row>
    <row r="688" spans="1:41" ht="15.75" customHeight="1" x14ac:dyDescent="0.6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4"/>
      <c r="AL688" s="33"/>
      <c r="AM688" s="33"/>
      <c r="AN688" s="33"/>
      <c r="AO688" s="33"/>
    </row>
    <row r="689" spans="1:41" ht="15.75" customHeight="1" x14ac:dyDescent="0.6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4"/>
      <c r="AL689" s="33"/>
      <c r="AM689" s="33"/>
      <c r="AN689" s="33"/>
      <c r="AO689" s="33"/>
    </row>
    <row r="690" spans="1:41" ht="15.75" customHeight="1" x14ac:dyDescent="0.6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4"/>
      <c r="AL690" s="33"/>
      <c r="AM690" s="33"/>
      <c r="AN690" s="33"/>
      <c r="AO690" s="33"/>
    </row>
    <row r="691" spans="1:41" ht="15.75" customHeight="1" x14ac:dyDescent="0.6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4"/>
      <c r="AL691" s="33"/>
      <c r="AM691" s="33"/>
      <c r="AN691" s="33"/>
      <c r="AO691" s="33"/>
    </row>
    <row r="692" spans="1:41" ht="15.75" customHeight="1" x14ac:dyDescent="0.6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4"/>
      <c r="AL692" s="33"/>
      <c r="AM692" s="33"/>
      <c r="AN692" s="33"/>
      <c r="AO692" s="33"/>
    </row>
    <row r="693" spans="1:41" ht="15.75" customHeight="1" x14ac:dyDescent="0.6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4"/>
      <c r="AL693" s="33"/>
      <c r="AM693" s="33"/>
      <c r="AN693" s="33"/>
      <c r="AO693" s="33"/>
    </row>
    <row r="694" spans="1:41" ht="15.75" customHeight="1" x14ac:dyDescent="0.6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4"/>
      <c r="AL694" s="33"/>
      <c r="AM694" s="33"/>
      <c r="AN694" s="33"/>
      <c r="AO694" s="33"/>
    </row>
    <row r="695" spans="1:41" ht="15.75" customHeight="1" x14ac:dyDescent="0.6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4"/>
      <c r="AL695" s="33"/>
      <c r="AM695" s="33"/>
      <c r="AN695" s="33"/>
      <c r="AO695" s="33"/>
    </row>
    <row r="696" spans="1:41" ht="15.75" customHeight="1" x14ac:dyDescent="0.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4"/>
      <c r="AL696" s="33"/>
      <c r="AM696" s="33"/>
      <c r="AN696" s="33"/>
      <c r="AO696" s="33"/>
    </row>
    <row r="697" spans="1:41" ht="15.75" customHeight="1" x14ac:dyDescent="0.6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4"/>
      <c r="AL697" s="33"/>
      <c r="AM697" s="33"/>
      <c r="AN697" s="33"/>
      <c r="AO697" s="33"/>
    </row>
    <row r="698" spans="1:41" ht="15.75" customHeight="1" x14ac:dyDescent="0.6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4"/>
      <c r="AL698" s="33"/>
      <c r="AM698" s="33"/>
      <c r="AN698" s="33"/>
      <c r="AO698" s="33"/>
    </row>
    <row r="699" spans="1:41" ht="15.75" customHeight="1" x14ac:dyDescent="0.6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4"/>
      <c r="AL699" s="33"/>
      <c r="AM699" s="33"/>
      <c r="AN699" s="33"/>
      <c r="AO699" s="33"/>
    </row>
    <row r="700" spans="1:41" ht="15.75" customHeight="1" x14ac:dyDescent="0.6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4"/>
      <c r="AL700" s="33"/>
      <c r="AM700" s="33"/>
      <c r="AN700" s="33"/>
      <c r="AO700" s="33"/>
    </row>
    <row r="701" spans="1:41" ht="15.75" customHeight="1" x14ac:dyDescent="0.6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4"/>
      <c r="AL701" s="33"/>
      <c r="AM701" s="33"/>
      <c r="AN701" s="33"/>
      <c r="AO701" s="33"/>
    </row>
    <row r="702" spans="1:41" ht="15.75" customHeight="1" x14ac:dyDescent="0.6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4"/>
      <c r="AL702" s="33"/>
      <c r="AM702" s="33"/>
      <c r="AN702" s="33"/>
      <c r="AO702" s="33"/>
    </row>
    <row r="703" spans="1:41" ht="15.75" customHeight="1" x14ac:dyDescent="0.6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4"/>
      <c r="AL703" s="33"/>
      <c r="AM703" s="33"/>
      <c r="AN703" s="33"/>
      <c r="AO703" s="33"/>
    </row>
    <row r="704" spans="1:41" ht="15.75" customHeight="1" x14ac:dyDescent="0.6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4"/>
      <c r="AL704" s="33"/>
      <c r="AM704" s="33"/>
      <c r="AN704" s="33"/>
      <c r="AO704" s="33"/>
    </row>
    <row r="705" spans="1:41" ht="15.75" customHeight="1" x14ac:dyDescent="0.6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4"/>
      <c r="AL705" s="33"/>
      <c r="AM705" s="33"/>
      <c r="AN705" s="33"/>
      <c r="AO705" s="33"/>
    </row>
    <row r="706" spans="1:41" ht="15.75" customHeight="1" x14ac:dyDescent="0.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4"/>
      <c r="AL706" s="33"/>
      <c r="AM706" s="33"/>
      <c r="AN706" s="33"/>
      <c r="AO706" s="33"/>
    </row>
    <row r="707" spans="1:41" ht="15.75" customHeight="1" x14ac:dyDescent="0.6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4"/>
      <c r="AL707" s="33"/>
      <c r="AM707" s="33"/>
      <c r="AN707" s="33"/>
      <c r="AO707" s="33"/>
    </row>
    <row r="708" spans="1:41" ht="15.75" customHeight="1" x14ac:dyDescent="0.6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4"/>
      <c r="AL708" s="33"/>
      <c r="AM708" s="33"/>
      <c r="AN708" s="33"/>
      <c r="AO708" s="33"/>
    </row>
    <row r="709" spans="1:41" ht="15.75" customHeight="1" x14ac:dyDescent="0.6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4"/>
      <c r="AL709" s="33"/>
      <c r="AM709" s="33"/>
      <c r="AN709" s="33"/>
      <c r="AO709" s="33"/>
    </row>
    <row r="710" spans="1:41" ht="15.75" customHeight="1" x14ac:dyDescent="0.6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4"/>
      <c r="AL710" s="33"/>
      <c r="AM710" s="33"/>
      <c r="AN710" s="33"/>
      <c r="AO710" s="33"/>
    </row>
    <row r="711" spans="1:41" ht="15.75" customHeight="1" x14ac:dyDescent="0.6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4"/>
      <c r="AL711" s="33"/>
      <c r="AM711" s="33"/>
      <c r="AN711" s="33"/>
      <c r="AO711" s="33"/>
    </row>
    <row r="712" spans="1:41" ht="15.75" customHeight="1" x14ac:dyDescent="0.6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4"/>
      <c r="AL712" s="33"/>
      <c r="AM712" s="33"/>
      <c r="AN712" s="33"/>
      <c r="AO712" s="33"/>
    </row>
    <row r="713" spans="1:41" ht="15.75" customHeight="1" x14ac:dyDescent="0.6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4"/>
      <c r="AL713" s="33"/>
      <c r="AM713" s="33"/>
      <c r="AN713" s="33"/>
      <c r="AO713" s="33"/>
    </row>
    <row r="714" spans="1:41" ht="15.75" customHeight="1" x14ac:dyDescent="0.6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4"/>
      <c r="AL714" s="33"/>
      <c r="AM714" s="33"/>
      <c r="AN714" s="33"/>
      <c r="AO714" s="33"/>
    </row>
    <row r="715" spans="1:41" ht="15.75" customHeight="1" x14ac:dyDescent="0.6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4"/>
      <c r="AL715" s="33"/>
      <c r="AM715" s="33"/>
      <c r="AN715" s="33"/>
      <c r="AO715" s="33"/>
    </row>
    <row r="716" spans="1:41" ht="15.75" customHeight="1" x14ac:dyDescent="0.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4"/>
      <c r="AL716" s="33"/>
      <c r="AM716" s="33"/>
      <c r="AN716" s="33"/>
      <c r="AO716" s="33"/>
    </row>
    <row r="717" spans="1:41" ht="15.75" customHeight="1" x14ac:dyDescent="0.6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4"/>
      <c r="AL717" s="33"/>
      <c r="AM717" s="33"/>
      <c r="AN717" s="33"/>
      <c r="AO717" s="33"/>
    </row>
    <row r="718" spans="1:41" ht="15.75" customHeight="1" x14ac:dyDescent="0.6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4"/>
      <c r="AL718" s="33"/>
      <c r="AM718" s="33"/>
      <c r="AN718" s="33"/>
      <c r="AO718" s="33"/>
    </row>
    <row r="719" spans="1:41" ht="15.75" customHeight="1" x14ac:dyDescent="0.6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4"/>
      <c r="AL719" s="33"/>
      <c r="AM719" s="33"/>
      <c r="AN719" s="33"/>
      <c r="AO719" s="33"/>
    </row>
    <row r="720" spans="1:41" ht="15.75" customHeight="1" x14ac:dyDescent="0.6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4"/>
      <c r="AL720" s="33"/>
      <c r="AM720" s="33"/>
      <c r="AN720" s="33"/>
      <c r="AO720" s="33"/>
    </row>
    <row r="721" spans="1:41" ht="15.75" customHeight="1" x14ac:dyDescent="0.6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4"/>
      <c r="AL721" s="33"/>
      <c r="AM721" s="33"/>
      <c r="AN721" s="33"/>
      <c r="AO721" s="33"/>
    </row>
    <row r="722" spans="1:41" ht="15.75" customHeight="1" x14ac:dyDescent="0.6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4"/>
      <c r="AL722" s="33"/>
      <c r="AM722" s="33"/>
      <c r="AN722" s="33"/>
      <c r="AO722" s="33"/>
    </row>
    <row r="723" spans="1:41" ht="15.75" customHeight="1" x14ac:dyDescent="0.6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4"/>
      <c r="AL723" s="33"/>
      <c r="AM723" s="33"/>
      <c r="AN723" s="33"/>
      <c r="AO723" s="33"/>
    </row>
    <row r="724" spans="1:41" ht="15.75" customHeight="1" x14ac:dyDescent="0.6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4"/>
      <c r="AL724" s="33"/>
      <c r="AM724" s="33"/>
      <c r="AN724" s="33"/>
      <c r="AO724" s="33"/>
    </row>
    <row r="725" spans="1:41" ht="15.75" customHeight="1" x14ac:dyDescent="0.6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4"/>
      <c r="AL725" s="33"/>
      <c r="AM725" s="33"/>
      <c r="AN725" s="33"/>
      <c r="AO725" s="33"/>
    </row>
    <row r="726" spans="1:41" ht="15.75" customHeight="1" x14ac:dyDescent="0.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4"/>
      <c r="AL726" s="33"/>
      <c r="AM726" s="33"/>
      <c r="AN726" s="33"/>
      <c r="AO726" s="33"/>
    </row>
    <row r="727" spans="1:41" ht="15.75" customHeight="1" x14ac:dyDescent="0.6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4"/>
      <c r="AL727" s="33"/>
      <c r="AM727" s="33"/>
      <c r="AN727" s="33"/>
      <c r="AO727" s="33"/>
    </row>
    <row r="728" spans="1:41" ht="15.75" customHeight="1" x14ac:dyDescent="0.6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4"/>
      <c r="AL728" s="33"/>
      <c r="AM728" s="33"/>
      <c r="AN728" s="33"/>
      <c r="AO728" s="33"/>
    </row>
    <row r="729" spans="1:41" ht="15.75" customHeight="1" x14ac:dyDescent="0.6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4"/>
      <c r="AL729" s="33"/>
      <c r="AM729" s="33"/>
      <c r="AN729" s="33"/>
      <c r="AO729" s="33"/>
    </row>
    <row r="730" spans="1:41" ht="15.75" customHeight="1" x14ac:dyDescent="0.6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4"/>
      <c r="AL730" s="33"/>
      <c r="AM730" s="33"/>
      <c r="AN730" s="33"/>
      <c r="AO730" s="33"/>
    </row>
    <row r="731" spans="1:41" ht="15.75" customHeight="1" x14ac:dyDescent="0.6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4"/>
      <c r="AL731" s="33"/>
      <c r="AM731" s="33"/>
      <c r="AN731" s="33"/>
      <c r="AO731" s="33"/>
    </row>
    <row r="732" spans="1:41" ht="15.75" customHeight="1" x14ac:dyDescent="0.6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4"/>
      <c r="AL732" s="33"/>
      <c r="AM732" s="33"/>
      <c r="AN732" s="33"/>
      <c r="AO732" s="33"/>
    </row>
    <row r="733" spans="1:41" ht="15.75" customHeight="1" x14ac:dyDescent="0.6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4"/>
      <c r="AL733" s="33"/>
      <c r="AM733" s="33"/>
      <c r="AN733" s="33"/>
      <c r="AO733" s="33"/>
    </row>
    <row r="734" spans="1:41" ht="15.75" customHeight="1" x14ac:dyDescent="0.6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4"/>
      <c r="AL734" s="33"/>
      <c r="AM734" s="33"/>
      <c r="AN734" s="33"/>
      <c r="AO734" s="33"/>
    </row>
    <row r="735" spans="1:41" ht="15.75" customHeight="1" x14ac:dyDescent="0.6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4"/>
      <c r="AL735" s="33"/>
      <c r="AM735" s="33"/>
      <c r="AN735" s="33"/>
      <c r="AO735" s="33"/>
    </row>
    <row r="736" spans="1:41" ht="15.75" customHeight="1" x14ac:dyDescent="0.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4"/>
      <c r="AL736" s="33"/>
      <c r="AM736" s="33"/>
      <c r="AN736" s="33"/>
      <c r="AO736" s="33"/>
    </row>
    <row r="737" spans="1:41" ht="15.75" customHeight="1" x14ac:dyDescent="0.6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4"/>
      <c r="AL737" s="33"/>
      <c r="AM737" s="33"/>
      <c r="AN737" s="33"/>
      <c r="AO737" s="33"/>
    </row>
    <row r="738" spans="1:41" ht="15.75" customHeight="1" x14ac:dyDescent="0.6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4"/>
      <c r="AL738" s="33"/>
      <c r="AM738" s="33"/>
      <c r="AN738" s="33"/>
      <c r="AO738" s="33"/>
    </row>
    <row r="739" spans="1:41" ht="15.75" customHeight="1" x14ac:dyDescent="0.6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4"/>
      <c r="AL739" s="33"/>
      <c r="AM739" s="33"/>
      <c r="AN739" s="33"/>
      <c r="AO739" s="33"/>
    </row>
    <row r="740" spans="1:41" ht="15.75" customHeight="1" x14ac:dyDescent="0.6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4"/>
      <c r="AL740" s="33"/>
      <c r="AM740" s="33"/>
      <c r="AN740" s="33"/>
      <c r="AO740" s="33"/>
    </row>
    <row r="741" spans="1:41" ht="15.75" customHeight="1" x14ac:dyDescent="0.6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4"/>
      <c r="AL741" s="33"/>
      <c r="AM741" s="33"/>
      <c r="AN741" s="33"/>
      <c r="AO741" s="33"/>
    </row>
    <row r="742" spans="1:41" ht="15.75" customHeight="1" x14ac:dyDescent="0.6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4"/>
      <c r="AL742" s="33"/>
      <c r="AM742" s="33"/>
      <c r="AN742" s="33"/>
      <c r="AO742" s="33"/>
    </row>
    <row r="743" spans="1:41" ht="15.75" customHeight="1" x14ac:dyDescent="0.6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4"/>
      <c r="AL743" s="33"/>
      <c r="AM743" s="33"/>
      <c r="AN743" s="33"/>
      <c r="AO743" s="33"/>
    </row>
    <row r="744" spans="1:41" ht="15.75" customHeight="1" x14ac:dyDescent="0.6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4"/>
      <c r="AL744" s="33"/>
      <c r="AM744" s="33"/>
      <c r="AN744" s="33"/>
      <c r="AO744" s="33"/>
    </row>
    <row r="745" spans="1:41" ht="15.75" customHeight="1" x14ac:dyDescent="0.6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4"/>
      <c r="AL745" s="33"/>
      <c r="AM745" s="33"/>
      <c r="AN745" s="33"/>
      <c r="AO745" s="33"/>
    </row>
    <row r="746" spans="1:41" ht="15.75" customHeight="1" x14ac:dyDescent="0.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4"/>
      <c r="AL746" s="33"/>
      <c r="AM746" s="33"/>
      <c r="AN746" s="33"/>
      <c r="AO746" s="33"/>
    </row>
    <row r="747" spans="1:41" ht="15.75" customHeight="1" x14ac:dyDescent="0.6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4"/>
      <c r="AL747" s="33"/>
      <c r="AM747" s="33"/>
      <c r="AN747" s="33"/>
      <c r="AO747" s="33"/>
    </row>
    <row r="748" spans="1:41" ht="15.75" customHeight="1" x14ac:dyDescent="0.6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4"/>
      <c r="AL748" s="33"/>
      <c r="AM748" s="33"/>
      <c r="AN748" s="33"/>
      <c r="AO748" s="33"/>
    </row>
    <row r="749" spans="1:41" ht="15.75" customHeight="1" x14ac:dyDescent="0.6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4"/>
      <c r="AL749" s="33"/>
      <c r="AM749" s="33"/>
      <c r="AN749" s="33"/>
      <c r="AO749" s="33"/>
    </row>
    <row r="750" spans="1:41" ht="15.75" customHeight="1" x14ac:dyDescent="0.6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4"/>
      <c r="AL750" s="33"/>
      <c r="AM750" s="33"/>
      <c r="AN750" s="33"/>
      <c r="AO750" s="33"/>
    </row>
    <row r="751" spans="1:41" ht="15.75" customHeight="1" x14ac:dyDescent="0.6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4"/>
      <c r="AL751" s="33"/>
      <c r="AM751" s="33"/>
      <c r="AN751" s="33"/>
      <c r="AO751" s="33"/>
    </row>
    <row r="752" spans="1:41" ht="15.75" customHeight="1" x14ac:dyDescent="0.6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4"/>
      <c r="AL752" s="33"/>
      <c r="AM752" s="33"/>
      <c r="AN752" s="33"/>
      <c r="AO752" s="33"/>
    </row>
    <row r="753" spans="1:41" ht="15.75" customHeight="1" x14ac:dyDescent="0.6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4"/>
      <c r="AL753" s="33"/>
      <c r="AM753" s="33"/>
      <c r="AN753" s="33"/>
      <c r="AO753" s="33"/>
    </row>
    <row r="754" spans="1:41" ht="15.75" customHeight="1" x14ac:dyDescent="0.6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4"/>
      <c r="AL754" s="33"/>
      <c r="AM754" s="33"/>
      <c r="AN754" s="33"/>
      <c r="AO754" s="33"/>
    </row>
    <row r="755" spans="1:41" ht="15.75" customHeight="1" x14ac:dyDescent="0.6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4"/>
      <c r="AL755" s="33"/>
      <c r="AM755" s="33"/>
      <c r="AN755" s="33"/>
      <c r="AO755" s="33"/>
    </row>
    <row r="756" spans="1:41" ht="15.75" customHeight="1" x14ac:dyDescent="0.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4"/>
      <c r="AL756" s="33"/>
      <c r="AM756" s="33"/>
      <c r="AN756" s="33"/>
      <c r="AO756" s="33"/>
    </row>
    <row r="757" spans="1:41" ht="15.75" customHeight="1" x14ac:dyDescent="0.6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4"/>
      <c r="AL757" s="33"/>
      <c r="AM757" s="33"/>
      <c r="AN757" s="33"/>
      <c r="AO757" s="33"/>
    </row>
    <row r="758" spans="1:41" ht="15.75" customHeight="1" x14ac:dyDescent="0.6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4"/>
      <c r="AL758" s="33"/>
      <c r="AM758" s="33"/>
      <c r="AN758" s="33"/>
      <c r="AO758" s="33"/>
    </row>
    <row r="759" spans="1:41" ht="15.75" customHeight="1" x14ac:dyDescent="0.6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4"/>
      <c r="AL759" s="33"/>
      <c r="AM759" s="33"/>
      <c r="AN759" s="33"/>
      <c r="AO759" s="33"/>
    </row>
    <row r="760" spans="1:41" ht="15.75" customHeight="1" x14ac:dyDescent="0.6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4"/>
      <c r="AL760" s="33"/>
      <c r="AM760" s="33"/>
      <c r="AN760" s="33"/>
      <c r="AO760" s="33"/>
    </row>
    <row r="761" spans="1:41" ht="15.75" customHeight="1" x14ac:dyDescent="0.6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4"/>
      <c r="AL761" s="33"/>
      <c r="AM761" s="33"/>
      <c r="AN761" s="33"/>
      <c r="AO761" s="33"/>
    </row>
    <row r="762" spans="1:41" ht="15.75" customHeight="1" x14ac:dyDescent="0.6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4"/>
      <c r="AL762" s="33"/>
      <c r="AM762" s="33"/>
      <c r="AN762" s="33"/>
      <c r="AO762" s="33"/>
    </row>
    <row r="763" spans="1:41" ht="15.75" customHeight="1" x14ac:dyDescent="0.6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4"/>
      <c r="AL763" s="33"/>
      <c r="AM763" s="33"/>
      <c r="AN763" s="33"/>
      <c r="AO763" s="33"/>
    </row>
    <row r="764" spans="1:41" ht="15.75" customHeight="1" x14ac:dyDescent="0.6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4"/>
      <c r="AL764" s="33"/>
      <c r="AM764" s="33"/>
      <c r="AN764" s="33"/>
      <c r="AO764" s="33"/>
    </row>
    <row r="765" spans="1:41" ht="15.75" customHeight="1" x14ac:dyDescent="0.6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4"/>
      <c r="AL765" s="33"/>
      <c r="AM765" s="33"/>
      <c r="AN765" s="33"/>
      <c r="AO765" s="33"/>
    </row>
    <row r="766" spans="1:41" ht="15.75" customHeight="1" x14ac:dyDescent="0.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4"/>
      <c r="AL766" s="33"/>
      <c r="AM766" s="33"/>
      <c r="AN766" s="33"/>
      <c r="AO766" s="33"/>
    </row>
    <row r="767" spans="1:41" ht="15.75" customHeight="1" x14ac:dyDescent="0.6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4"/>
      <c r="AL767" s="33"/>
      <c r="AM767" s="33"/>
      <c r="AN767" s="33"/>
      <c r="AO767" s="33"/>
    </row>
    <row r="768" spans="1:41" ht="15.75" customHeight="1" x14ac:dyDescent="0.6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4"/>
      <c r="AL768" s="33"/>
      <c r="AM768" s="33"/>
      <c r="AN768" s="33"/>
      <c r="AO768" s="33"/>
    </row>
    <row r="769" spans="1:41" ht="15.75" customHeight="1" x14ac:dyDescent="0.6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4"/>
      <c r="AL769" s="33"/>
      <c r="AM769" s="33"/>
      <c r="AN769" s="33"/>
      <c r="AO769" s="33"/>
    </row>
    <row r="770" spans="1:41" ht="15.75" customHeight="1" x14ac:dyDescent="0.6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4"/>
      <c r="AL770" s="33"/>
      <c r="AM770" s="33"/>
      <c r="AN770" s="33"/>
      <c r="AO770" s="33"/>
    </row>
    <row r="771" spans="1:41" ht="15.75" customHeight="1" x14ac:dyDescent="0.6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4"/>
      <c r="AL771" s="33"/>
      <c r="AM771" s="33"/>
      <c r="AN771" s="33"/>
      <c r="AO771" s="33"/>
    </row>
    <row r="772" spans="1:41" ht="15.75" customHeight="1" x14ac:dyDescent="0.6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4"/>
      <c r="AL772" s="33"/>
      <c r="AM772" s="33"/>
      <c r="AN772" s="33"/>
      <c r="AO772" s="33"/>
    </row>
    <row r="773" spans="1:41" ht="15.75" customHeight="1" x14ac:dyDescent="0.6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4"/>
      <c r="AL773" s="33"/>
      <c r="AM773" s="33"/>
      <c r="AN773" s="33"/>
      <c r="AO773" s="33"/>
    </row>
    <row r="774" spans="1:41" ht="15.75" customHeight="1" x14ac:dyDescent="0.6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4"/>
      <c r="AL774" s="33"/>
      <c r="AM774" s="33"/>
      <c r="AN774" s="33"/>
      <c r="AO774" s="33"/>
    </row>
    <row r="775" spans="1:41" ht="15.75" customHeight="1" x14ac:dyDescent="0.6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4"/>
      <c r="AL775" s="33"/>
      <c r="AM775" s="33"/>
      <c r="AN775" s="33"/>
      <c r="AO775" s="33"/>
    </row>
    <row r="776" spans="1:41" ht="15.75" customHeight="1" x14ac:dyDescent="0.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4"/>
      <c r="AL776" s="33"/>
      <c r="AM776" s="33"/>
      <c r="AN776" s="33"/>
      <c r="AO776" s="33"/>
    </row>
    <row r="777" spans="1:41" ht="15.75" customHeight="1" x14ac:dyDescent="0.6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4"/>
      <c r="AL777" s="33"/>
      <c r="AM777" s="33"/>
      <c r="AN777" s="33"/>
      <c r="AO777" s="33"/>
    </row>
    <row r="778" spans="1:41" ht="15.75" customHeight="1" x14ac:dyDescent="0.6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4"/>
      <c r="AL778" s="33"/>
      <c r="AM778" s="33"/>
      <c r="AN778" s="33"/>
      <c r="AO778" s="33"/>
    </row>
    <row r="779" spans="1:41" ht="15.75" customHeight="1" x14ac:dyDescent="0.6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4"/>
      <c r="AL779" s="33"/>
      <c r="AM779" s="33"/>
      <c r="AN779" s="33"/>
      <c r="AO779" s="33"/>
    </row>
    <row r="780" spans="1:41" ht="15.75" customHeight="1" x14ac:dyDescent="0.6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4"/>
      <c r="AL780" s="33"/>
      <c r="AM780" s="33"/>
      <c r="AN780" s="33"/>
      <c r="AO780" s="33"/>
    </row>
    <row r="781" spans="1:41" ht="15.75" customHeight="1" x14ac:dyDescent="0.6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4"/>
      <c r="AL781" s="33"/>
      <c r="AM781" s="33"/>
      <c r="AN781" s="33"/>
      <c r="AO781" s="33"/>
    </row>
    <row r="782" spans="1:41" ht="15.75" customHeight="1" x14ac:dyDescent="0.6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4"/>
      <c r="AL782" s="33"/>
      <c r="AM782" s="33"/>
      <c r="AN782" s="33"/>
      <c r="AO782" s="33"/>
    </row>
    <row r="783" spans="1:41" ht="15.75" customHeight="1" x14ac:dyDescent="0.6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4"/>
      <c r="AL783" s="33"/>
      <c r="AM783" s="33"/>
      <c r="AN783" s="33"/>
      <c r="AO783" s="33"/>
    </row>
    <row r="784" spans="1:41" ht="15.75" customHeight="1" x14ac:dyDescent="0.6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4"/>
      <c r="AL784" s="33"/>
      <c r="AM784" s="33"/>
      <c r="AN784" s="33"/>
      <c r="AO784" s="33"/>
    </row>
    <row r="785" spans="1:41" ht="15.75" customHeight="1" x14ac:dyDescent="0.6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4"/>
      <c r="AL785" s="33"/>
      <c r="AM785" s="33"/>
      <c r="AN785" s="33"/>
      <c r="AO785" s="33"/>
    </row>
    <row r="786" spans="1:41" ht="15.75" customHeight="1" x14ac:dyDescent="0.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4"/>
      <c r="AL786" s="33"/>
      <c r="AM786" s="33"/>
      <c r="AN786" s="33"/>
      <c r="AO786" s="33"/>
    </row>
    <row r="787" spans="1:41" ht="15.75" customHeight="1" x14ac:dyDescent="0.6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4"/>
      <c r="AL787" s="33"/>
      <c r="AM787" s="33"/>
      <c r="AN787" s="33"/>
      <c r="AO787" s="33"/>
    </row>
    <row r="788" spans="1:41" ht="15.75" customHeight="1" x14ac:dyDescent="0.6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4"/>
      <c r="AL788" s="33"/>
      <c r="AM788" s="33"/>
      <c r="AN788" s="33"/>
      <c r="AO788" s="33"/>
    </row>
    <row r="789" spans="1:41" ht="15.75" customHeight="1" x14ac:dyDescent="0.6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4"/>
      <c r="AL789" s="33"/>
      <c r="AM789" s="33"/>
      <c r="AN789" s="33"/>
      <c r="AO789" s="33"/>
    </row>
    <row r="790" spans="1:41" ht="15.75" customHeight="1" x14ac:dyDescent="0.6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4"/>
      <c r="AL790" s="33"/>
      <c r="AM790" s="33"/>
      <c r="AN790" s="33"/>
      <c r="AO790" s="33"/>
    </row>
    <row r="791" spans="1:41" ht="15.75" customHeight="1" x14ac:dyDescent="0.6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4"/>
      <c r="AL791" s="33"/>
      <c r="AM791" s="33"/>
      <c r="AN791" s="33"/>
      <c r="AO791" s="33"/>
    </row>
    <row r="792" spans="1:41" ht="15.75" customHeight="1" x14ac:dyDescent="0.6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4"/>
      <c r="AL792" s="33"/>
      <c r="AM792" s="33"/>
      <c r="AN792" s="33"/>
      <c r="AO792" s="33"/>
    </row>
    <row r="793" spans="1:41" ht="15.75" customHeight="1" x14ac:dyDescent="0.6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4"/>
      <c r="AL793" s="33"/>
      <c r="AM793" s="33"/>
      <c r="AN793" s="33"/>
      <c r="AO793" s="33"/>
    </row>
    <row r="794" spans="1:41" ht="15.75" customHeight="1" x14ac:dyDescent="0.6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4"/>
      <c r="AL794" s="33"/>
      <c r="AM794" s="33"/>
      <c r="AN794" s="33"/>
      <c r="AO794" s="33"/>
    </row>
    <row r="795" spans="1:41" ht="15.75" customHeight="1" x14ac:dyDescent="0.6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4"/>
      <c r="AL795" s="33"/>
      <c r="AM795" s="33"/>
      <c r="AN795" s="33"/>
      <c r="AO795" s="33"/>
    </row>
    <row r="796" spans="1:41" ht="15.75" customHeight="1" x14ac:dyDescent="0.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4"/>
      <c r="AL796" s="33"/>
      <c r="AM796" s="33"/>
      <c r="AN796" s="33"/>
      <c r="AO796" s="33"/>
    </row>
    <row r="797" spans="1:41" ht="15.75" customHeight="1" x14ac:dyDescent="0.6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4"/>
      <c r="AL797" s="33"/>
      <c r="AM797" s="33"/>
      <c r="AN797" s="33"/>
      <c r="AO797" s="33"/>
    </row>
    <row r="798" spans="1:41" ht="15.75" customHeight="1" x14ac:dyDescent="0.6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4"/>
      <c r="AL798" s="33"/>
      <c r="AM798" s="33"/>
      <c r="AN798" s="33"/>
      <c r="AO798" s="33"/>
    </row>
    <row r="799" spans="1:41" ht="15.75" customHeight="1" x14ac:dyDescent="0.6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4"/>
      <c r="AL799" s="33"/>
      <c r="AM799" s="33"/>
      <c r="AN799" s="33"/>
      <c r="AO799" s="33"/>
    </row>
    <row r="800" spans="1:41" ht="15.75" customHeight="1" x14ac:dyDescent="0.6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4"/>
      <c r="AL800" s="33"/>
      <c r="AM800" s="33"/>
      <c r="AN800" s="33"/>
      <c r="AO800" s="33"/>
    </row>
    <row r="801" spans="1:41" ht="15.75" customHeight="1" x14ac:dyDescent="0.6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4"/>
      <c r="AL801" s="33"/>
      <c r="AM801" s="33"/>
      <c r="AN801" s="33"/>
      <c r="AO801" s="33"/>
    </row>
    <row r="802" spans="1:41" ht="15.75" customHeight="1" x14ac:dyDescent="0.6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4"/>
      <c r="AL802" s="33"/>
      <c r="AM802" s="33"/>
      <c r="AN802" s="33"/>
      <c r="AO802" s="33"/>
    </row>
    <row r="803" spans="1:41" ht="15.75" customHeight="1" x14ac:dyDescent="0.6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4"/>
      <c r="AL803" s="33"/>
      <c r="AM803" s="33"/>
      <c r="AN803" s="33"/>
      <c r="AO803" s="33"/>
    </row>
    <row r="804" spans="1:41" ht="15.75" customHeight="1" x14ac:dyDescent="0.6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4"/>
      <c r="AL804" s="33"/>
      <c r="AM804" s="33"/>
      <c r="AN804" s="33"/>
      <c r="AO804" s="33"/>
    </row>
    <row r="805" spans="1:41" ht="15.75" customHeight="1" x14ac:dyDescent="0.6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4"/>
      <c r="AL805" s="33"/>
      <c r="AM805" s="33"/>
      <c r="AN805" s="33"/>
      <c r="AO805" s="33"/>
    </row>
    <row r="806" spans="1:41" ht="15.75" customHeight="1" x14ac:dyDescent="0.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4"/>
      <c r="AL806" s="33"/>
      <c r="AM806" s="33"/>
      <c r="AN806" s="33"/>
      <c r="AO806" s="33"/>
    </row>
    <row r="807" spans="1:41" ht="15.75" customHeight="1" x14ac:dyDescent="0.6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4"/>
      <c r="AL807" s="33"/>
      <c r="AM807" s="33"/>
      <c r="AN807" s="33"/>
      <c r="AO807" s="33"/>
    </row>
    <row r="808" spans="1:41" ht="15.75" customHeight="1" x14ac:dyDescent="0.6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4"/>
      <c r="AL808" s="33"/>
      <c r="AM808" s="33"/>
      <c r="AN808" s="33"/>
      <c r="AO808" s="33"/>
    </row>
    <row r="809" spans="1:41" ht="15.75" customHeight="1" x14ac:dyDescent="0.6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4"/>
      <c r="AL809" s="33"/>
      <c r="AM809" s="33"/>
      <c r="AN809" s="33"/>
      <c r="AO809" s="33"/>
    </row>
    <row r="810" spans="1:41" ht="15.75" customHeight="1" x14ac:dyDescent="0.6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4"/>
      <c r="AL810" s="33"/>
      <c r="AM810" s="33"/>
      <c r="AN810" s="33"/>
      <c r="AO810" s="33"/>
    </row>
    <row r="811" spans="1:41" ht="15.75" customHeight="1" x14ac:dyDescent="0.6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4"/>
      <c r="AL811" s="33"/>
      <c r="AM811" s="33"/>
      <c r="AN811" s="33"/>
      <c r="AO811" s="33"/>
    </row>
    <row r="812" spans="1:41" ht="15.75" customHeight="1" x14ac:dyDescent="0.6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4"/>
      <c r="AL812" s="33"/>
      <c r="AM812" s="33"/>
      <c r="AN812" s="33"/>
      <c r="AO812" s="33"/>
    </row>
    <row r="813" spans="1:41" ht="15.75" customHeight="1" x14ac:dyDescent="0.6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4"/>
      <c r="AL813" s="33"/>
      <c r="AM813" s="33"/>
      <c r="AN813" s="33"/>
      <c r="AO813" s="33"/>
    </row>
    <row r="814" spans="1:41" ht="15.75" customHeight="1" x14ac:dyDescent="0.6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4"/>
      <c r="AL814" s="33"/>
      <c r="AM814" s="33"/>
      <c r="AN814" s="33"/>
      <c r="AO814" s="33"/>
    </row>
    <row r="815" spans="1:41" ht="15.75" customHeight="1" x14ac:dyDescent="0.6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4"/>
      <c r="AL815" s="33"/>
      <c r="AM815" s="33"/>
      <c r="AN815" s="33"/>
      <c r="AO815" s="33"/>
    </row>
    <row r="816" spans="1:41" ht="15.75" customHeight="1" x14ac:dyDescent="0.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4"/>
      <c r="AL816" s="33"/>
      <c r="AM816" s="33"/>
      <c r="AN816" s="33"/>
      <c r="AO816" s="33"/>
    </row>
    <row r="817" spans="1:41" ht="15.75" customHeight="1" x14ac:dyDescent="0.6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4"/>
      <c r="AL817" s="33"/>
      <c r="AM817" s="33"/>
      <c r="AN817" s="33"/>
      <c r="AO817" s="33"/>
    </row>
    <row r="818" spans="1:41" ht="15.75" customHeight="1" x14ac:dyDescent="0.6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4"/>
      <c r="AL818" s="33"/>
      <c r="AM818" s="33"/>
      <c r="AN818" s="33"/>
      <c r="AO818" s="33"/>
    </row>
    <row r="819" spans="1:41" ht="15.75" customHeight="1" x14ac:dyDescent="0.6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4"/>
      <c r="AL819" s="33"/>
      <c r="AM819" s="33"/>
      <c r="AN819" s="33"/>
      <c r="AO819" s="33"/>
    </row>
    <row r="820" spans="1:41" ht="15.75" customHeight="1" x14ac:dyDescent="0.6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4"/>
      <c r="AL820" s="33"/>
      <c r="AM820" s="33"/>
      <c r="AN820" s="33"/>
      <c r="AO820" s="33"/>
    </row>
    <row r="821" spans="1:41" ht="15.75" customHeight="1" x14ac:dyDescent="0.6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4"/>
      <c r="AL821" s="33"/>
      <c r="AM821" s="33"/>
      <c r="AN821" s="33"/>
      <c r="AO821" s="33"/>
    </row>
    <row r="822" spans="1:41" ht="15.75" customHeight="1" x14ac:dyDescent="0.6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4"/>
      <c r="AL822" s="33"/>
      <c r="AM822" s="33"/>
      <c r="AN822" s="33"/>
      <c r="AO822" s="33"/>
    </row>
    <row r="823" spans="1:41" ht="15.75" customHeight="1" x14ac:dyDescent="0.6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4"/>
      <c r="AL823" s="33"/>
      <c r="AM823" s="33"/>
      <c r="AN823" s="33"/>
      <c r="AO823" s="33"/>
    </row>
    <row r="824" spans="1:41" ht="15.75" customHeight="1" x14ac:dyDescent="0.6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4"/>
      <c r="AL824" s="33"/>
      <c r="AM824" s="33"/>
      <c r="AN824" s="33"/>
      <c r="AO824" s="33"/>
    </row>
    <row r="825" spans="1:41" ht="15.75" customHeight="1" x14ac:dyDescent="0.6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4"/>
      <c r="AL825" s="33"/>
      <c r="AM825" s="33"/>
      <c r="AN825" s="33"/>
      <c r="AO825" s="33"/>
    </row>
    <row r="826" spans="1:41" ht="15.75" customHeight="1" x14ac:dyDescent="0.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4"/>
      <c r="AL826" s="33"/>
      <c r="AM826" s="33"/>
      <c r="AN826" s="33"/>
      <c r="AO826" s="33"/>
    </row>
    <row r="827" spans="1:41" ht="15.75" customHeight="1" x14ac:dyDescent="0.6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4"/>
      <c r="AL827" s="33"/>
      <c r="AM827" s="33"/>
      <c r="AN827" s="33"/>
      <c r="AO827" s="33"/>
    </row>
    <row r="828" spans="1:41" ht="15.75" customHeight="1" x14ac:dyDescent="0.6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4"/>
      <c r="AL828" s="33"/>
      <c r="AM828" s="33"/>
      <c r="AN828" s="33"/>
      <c r="AO828" s="33"/>
    </row>
    <row r="829" spans="1:41" ht="15.75" customHeight="1" x14ac:dyDescent="0.6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4"/>
      <c r="AL829" s="33"/>
      <c r="AM829" s="33"/>
      <c r="AN829" s="33"/>
      <c r="AO829" s="33"/>
    </row>
    <row r="830" spans="1:41" ht="15.75" customHeight="1" x14ac:dyDescent="0.6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4"/>
      <c r="AL830" s="33"/>
      <c r="AM830" s="33"/>
      <c r="AN830" s="33"/>
      <c r="AO830" s="33"/>
    </row>
    <row r="831" spans="1:41" ht="15.75" customHeight="1" x14ac:dyDescent="0.6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4"/>
      <c r="AL831" s="33"/>
      <c r="AM831" s="33"/>
      <c r="AN831" s="33"/>
      <c r="AO831" s="33"/>
    </row>
    <row r="832" spans="1:41" ht="15.75" customHeight="1" x14ac:dyDescent="0.6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4"/>
      <c r="AL832" s="33"/>
      <c r="AM832" s="33"/>
      <c r="AN832" s="33"/>
      <c r="AO832" s="33"/>
    </row>
    <row r="833" spans="1:41" ht="15.75" customHeight="1" x14ac:dyDescent="0.6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4"/>
      <c r="AL833" s="33"/>
      <c r="AM833" s="33"/>
      <c r="AN833" s="33"/>
      <c r="AO833" s="33"/>
    </row>
    <row r="834" spans="1:41" ht="15.75" customHeight="1" x14ac:dyDescent="0.6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4"/>
      <c r="AL834" s="33"/>
      <c r="AM834" s="33"/>
      <c r="AN834" s="33"/>
      <c r="AO834" s="33"/>
    </row>
    <row r="835" spans="1:41" ht="15.75" customHeight="1" x14ac:dyDescent="0.6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4"/>
      <c r="AL835" s="33"/>
      <c r="AM835" s="33"/>
      <c r="AN835" s="33"/>
      <c r="AO835" s="33"/>
    </row>
    <row r="836" spans="1:41" ht="15.75" customHeight="1" x14ac:dyDescent="0.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4"/>
      <c r="AL836" s="33"/>
      <c r="AM836" s="33"/>
      <c r="AN836" s="33"/>
      <c r="AO836" s="33"/>
    </row>
    <row r="837" spans="1:41" ht="15.75" customHeight="1" x14ac:dyDescent="0.6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4"/>
      <c r="AL837" s="33"/>
      <c r="AM837" s="33"/>
      <c r="AN837" s="33"/>
      <c r="AO837" s="33"/>
    </row>
    <row r="838" spans="1:41" ht="15.75" customHeight="1" x14ac:dyDescent="0.6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4"/>
      <c r="AL838" s="33"/>
      <c r="AM838" s="33"/>
      <c r="AN838" s="33"/>
      <c r="AO838" s="33"/>
    </row>
    <row r="839" spans="1:41" ht="15.75" customHeight="1" x14ac:dyDescent="0.6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4"/>
      <c r="AL839" s="33"/>
      <c r="AM839" s="33"/>
      <c r="AN839" s="33"/>
      <c r="AO839" s="33"/>
    </row>
    <row r="840" spans="1:41" ht="15.75" customHeight="1" x14ac:dyDescent="0.6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4"/>
      <c r="AL840" s="33"/>
      <c r="AM840" s="33"/>
      <c r="AN840" s="33"/>
      <c r="AO840" s="33"/>
    </row>
    <row r="841" spans="1:41" ht="15.75" customHeight="1" x14ac:dyDescent="0.6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4"/>
      <c r="AL841" s="33"/>
      <c r="AM841" s="33"/>
      <c r="AN841" s="33"/>
      <c r="AO841" s="33"/>
    </row>
    <row r="842" spans="1:41" ht="15.75" customHeight="1" x14ac:dyDescent="0.6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4"/>
      <c r="AL842" s="33"/>
      <c r="AM842" s="33"/>
      <c r="AN842" s="33"/>
      <c r="AO842" s="33"/>
    </row>
    <row r="843" spans="1:41" ht="15.75" customHeight="1" x14ac:dyDescent="0.6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4"/>
      <c r="AL843" s="33"/>
      <c r="AM843" s="33"/>
      <c r="AN843" s="33"/>
      <c r="AO843" s="33"/>
    </row>
    <row r="844" spans="1:41" ht="15.75" customHeight="1" x14ac:dyDescent="0.6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4"/>
      <c r="AL844" s="33"/>
      <c r="AM844" s="33"/>
      <c r="AN844" s="33"/>
      <c r="AO844" s="33"/>
    </row>
    <row r="845" spans="1:41" ht="15.75" customHeight="1" x14ac:dyDescent="0.6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4"/>
      <c r="AL845" s="33"/>
      <c r="AM845" s="33"/>
      <c r="AN845" s="33"/>
      <c r="AO845" s="33"/>
    </row>
    <row r="846" spans="1:41" ht="15.75" customHeight="1" x14ac:dyDescent="0.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4"/>
      <c r="AL846" s="33"/>
      <c r="AM846" s="33"/>
      <c r="AN846" s="33"/>
      <c r="AO846" s="33"/>
    </row>
    <row r="847" spans="1:41" ht="15.75" customHeight="1" x14ac:dyDescent="0.6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4"/>
      <c r="AL847" s="33"/>
      <c r="AM847" s="33"/>
      <c r="AN847" s="33"/>
      <c r="AO847" s="33"/>
    </row>
    <row r="848" spans="1:41" ht="15.75" customHeight="1" x14ac:dyDescent="0.6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4"/>
      <c r="AL848" s="33"/>
      <c r="AM848" s="33"/>
      <c r="AN848" s="33"/>
      <c r="AO848" s="33"/>
    </row>
    <row r="849" spans="1:41" ht="15.75" customHeight="1" x14ac:dyDescent="0.6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4"/>
      <c r="AL849" s="33"/>
      <c r="AM849" s="33"/>
      <c r="AN849" s="33"/>
      <c r="AO849" s="33"/>
    </row>
    <row r="850" spans="1:41" ht="15.75" customHeight="1" x14ac:dyDescent="0.6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4"/>
      <c r="AL850" s="33"/>
      <c r="AM850" s="33"/>
      <c r="AN850" s="33"/>
      <c r="AO850" s="33"/>
    </row>
    <row r="851" spans="1:41" ht="15.75" customHeight="1" x14ac:dyDescent="0.6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4"/>
      <c r="AL851" s="33"/>
      <c r="AM851" s="33"/>
      <c r="AN851" s="33"/>
      <c r="AO851" s="33"/>
    </row>
    <row r="852" spans="1:41" ht="15.75" customHeight="1" x14ac:dyDescent="0.6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4"/>
      <c r="AL852" s="33"/>
      <c r="AM852" s="33"/>
      <c r="AN852" s="33"/>
      <c r="AO852" s="33"/>
    </row>
    <row r="853" spans="1:41" ht="15.75" customHeight="1" x14ac:dyDescent="0.6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4"/>
      <c r="AL853" s="33"/>
      <c r="AM853" s="33"/>
      <c r="AN853" s="33"/>
      <c r="AO853" s="33"/>
    </row>
    <row r="854" spans="1:41" ht="15.75" customHeight="1" x14ac:dyDescent="0.6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4"/>
      <c r="AL854" s="33"/>
      <c r="AM854" s="33"/>
      <c r="AN854" s="33"/>
      <c r="AO854" s="33"/>
    </row>
    <row r="855" spans="1:41" ht="15.75" customHeight="1" x14ac:dyDescent="0.6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4"/>
      <c r="AL855" s="33"/>
      <c r="AM855" s="33"/>
      <c r="AN855" s="33"/>
      <c r="AO855" s="33"/>
    </row>
    <row r="856" spans="1:41" ht="15.75" customHeight="1" x14ac:dyDescent="0.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4"/>
      <c r="AL856" s="33"/>
      <c r="AM856" s="33"/>
      <c r="AN856" s="33"/>
      <c r="AO856" s="33"/>
    </row>
    <row r="857" spans="1:41" ht="15.75" customHeight="1" x14ac:dyDescent="0.6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4"/>
      <c r="AL857" s="33"/>
      <c r="AM857" s="33"/>
      <c r="AN857" s="33"/>
      <c r="AO857" s="33"/>
    </row>
    <row r="858" spans="1:41" ht="15.75" customHeight="1" x14ac:dyDescent="0.6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4"/>
      <c r="AL858" s="33"/>
      <c r="AM858" s="33"/>
      <c r="AN858" s="33"/>
      <c r="AO858" s="33"/>
    </row>
    <row r="859" spans="1:41" ht="15.75" customHeight="1" x14ac:dyDescent="0.6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4"/>
      <c r="AL859" s="33"/>
      <c r="AM859" s="33"/>
      <c r="AN859" s="33"/>
      <c r="AO859" s="33"/>
    </row>
    <row r="860" spans="1:41" ht="15.75" customHeight="1" x14ac:dyDescent="0.6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4"/>
      <c r="AL860" s="33"/>
      <c r="AM860" s="33"/>
      <c r="AN860" s="33"/>
      <c r="AO860" s="33"/>
    </row>
    <row r="861" spans="1:41" ht="15.75" customHeight="1" x14ac:dyDescent="0.6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4"/>
      <c r="AL861" s="33"/>
      <c r="AM861" s="33"/>
      <c r="AN861" s="33"/>
      <c r="AO861" s="33"/>
    </row>
    <row r="862" spans="1:41" ht="15.75" customHeight="1" x14ac:dyDescent="0.6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4"/>
      <c r="AL862" s="33"/>
      <c r="AM862" s="33"/>
      <c r="AN862" s="33"/>
      <c r="AO862" s="33"/>
    </row>
    <row r="863" spans="1:41" ht="15.75" customHeight="1" x14ac:dyDescent="0.6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4"/>
      <c r="AL863" s="33"/>
      <c r="AM863" s="33"/>
      <c r="AN863" s="33"/>
      <c r="AO863" s="33"/>
    </row>
    <row r="864" spans="1:41" ht="15.75" customHeight="1" x14ac:dyDescent="0.6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4"/>
      <c r="AL864" s="33"/>
      <c r="AM864" s="33"/>
      <c r="AN864" s="33"/>
      <c r="AO864" s="33"/>
    </row>
    <row r="865" spans="1:41" ht="15.75" customHeight="1" x14ac:dyDescent="0.6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4"/>
      <c r="AL865" s="33"/>
      <c r="AM865" s="33"/>
      <c r="AN865" s="33"/>
      <c r="AO865" s="33"/>
    </row>
    <row r="866" spans="1:41" ht="15.75" customHeight="1" x14ac:dyDescent="0.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4"/>
      <c r="AL866" s="33"/>
      <c r="AM866" s="33"/>
      <c r="AN866" s="33"/>
      <c r="AO866" s="33"/>
    </row>
    <row r="867" spans="1:41" ht="15.75" customHeight="1" x14ac:dyDescent="0.6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4"/>
      <c r="AL867" s="33"/>
      <c r="AM867" s="33"/>
      <c r="AN867" s="33"/>
      <c r="AO867" s="33"/>
    </row>
    <row r="868" spans="1:41" ht="15.75" customHeight="1" x14ac:dyDescent="0.6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4"/>
      <c r="AL868" s="33"/>
      <c r="AM868" s="33"/>
      <c r="AN868" s="33"/>
      <c r="AO868" s="33"/>
    </row>
    <row r="869" spans="1:41" ht="15.75" customHeight="1" x14ac:dyDescent="0.6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4"/>
      <c r="AL869" s="33"/>
      <c r="AM869" s="33"/>
      <c r="AN869" s="33"/>
      <c r="AO869" s="33"/>
    </row>
    <row r="870" spans="1:41" ht="15.75" customHeight="1" x14ac:dyDescent="0.6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4"/>
      <c r="AL870" s="33"/>
      <c r="AM870" s="33"/>
      <c r="AN870" s="33"/>
      <c r="AO870" s="33"/>
    </row>
    <row r="871" spans="1:41" ht="15.75" customHeight="1" x14ac:dyDescent="0.6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4"/>
      <c r="AL871" s="33"/>
      <c r="AM871" s="33"/>
      <c r="AN871" s="33"/>
      <c r="AO871" s="33"/>
    </row>
    <row r="872" spans="1:41" ht="15.75" customHeight="1" x14ac:dyDescent="0.6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4"/>
      <c r="AL872" s="33"/>
      <c r="AM872" s="33"/>
      <c r="AN872" s="33"/>
      <c r="AO872" s="33"/>
    </row>
    <row r="873" spans="1:41" ht="15.75" customHeight="1" x14ac:dyDescent="0.6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4"/>
      <c r="AL873" s="33"/>
      <c r="AM873" s="33"/>
      <c r="AN873" s="33"/>
      <c r="AO873" s="33"/>
    </row>
    <row r="874" spans="1:41" ht="15.75" customHeight="1" x14ac:dyDescent="0.6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4"/>
      <c r="AL874" s="33"/>
      <c r="AM874" s="33"/>
      <c r="AN874" s="33"/>
      <c r="AO874" s="33"/>
    </row>
    <row r="875" spans="1:41" ht="15.75" customHeight="1" x14ac:dyDescent="0.6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4"/>
      <c r="AL875" s="33"/>
      <c r="AM875" s="33"/>
      <c r="AN875" s="33"/>
      <c r="AO875" s="33"/>
    </row>
    <row r="876" spans="1:41" ht="15.75" customHeight="1" x14ac:dyDescent="0.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4"/>
      <c r="AL876" s="33"/>
      <c r="AM876" s="33"/>
      <c r="AN876" s="33"/>
      <c r="AO876" s="33"/>
    </row>
    <row r="877" spans="1:41" ht="15.75" customHeight="1" x14ac:dyDescent="0.6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4"/>
      <c r="AL877" s="33"/>
      <c r="AM877" s="33"/>
      <c r="AN877" s="33"/>
      <c r="AO877" s="33"/>
    </row>
    <row r="878" spans="1:41" ht="15.75" customHeight="1" x14ac:dyDescent="0.6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4"/>
      <c r="AL878" s="33"/>
      <c r="AM878" s="33"/>
      <c r="AN878" s="33"/>
      <c r="AO878" s="33"/>
    </row>
    <row r="879" spans="1:41" ht="15.75" customHeight="1" x14ac:dyDescent="0.6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4"/>
      <c r="AL879" s="33"/>
      <c r="AM879" s="33"/>
      <c r="AN879" s="33"/>
      <c r="AO879" s="33"/>
    </row>
    <row r="880" spans="1:41" ht="15.75" customHeight="1" x14ac:dyDescent="0.6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4"/>
      <c r="AL880" s="33"/>
      <c r="AM880" s="33"/>
      <c r="AN880" s="33"/>
      <c r="AO880" s="33"/>
    </row>
    <row r="881" spans="1:41" ht="15.75" customHeight="1" x14ac:dyDescent="0.6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4"/>
      <c r="AL881" s="33"/>
      <c r="AM881" s="33"/>
      <c r="AN881" s="33"/>
      <c r="AO881" s="33"/>
    </row>
    <row r="882" spans="1:41" ht="15.75" customHeight="1" x14ac:dyDescent="0.6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4"/>
      <c r="AL882" s="33"/>
      <c r="AM882" s="33"/>
      <c r="AN882" s="33"/>
      <c r="AO882" s="33"/>
    </row>
    <row r="883" spans="1:41" ht="15.75" customHeight="1" x14ac:dyDescent="0.6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4"/>
      <c r="AL883" s="33"/>
      <c r="AM883" s="33"/>
      <c r="AN883" s="33"/>
      <c r="AO883" s="33"/>
    </row>
    <row r="884" spans="1:41" ht="15.75" customHeight="1" x14ac:dyDescent="0.6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4"/>
      <c r="AL884" s="33"/>
      <c r="AM884" s="33"/>
      <c r="AN884" s="33"/>
      <c r="AO884" s="33"/>
    </row>
    <row r="885" spans="1:41" ht="15.75" customHeight="1" x14ac:dyDescent="0.6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4"/>
      <c r="AL885" s="33"/>
      <c r="AM885" s="33"/>
      <c r="AN885" s="33"/>
      <c r="AO885" s="33"/>
    </row>
    <row r="886" spans="1:41" ht="15.75" customHeight="1" x14ac:dyDescent="0.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4"/>
      <c r="AL886" s="33"/>
      <c r="AM886" s="33"/>
      <c r="AN886" s="33"/>
      <c r="AO886" s="33"/>
    </row>
    <row r="887" spans="1:41" ht="15.75" customHeight="1" x14ac:dyDescent="0.6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4"/>
      <c r="AL887" s="33"/>
      <c r="AM887" s="33"/>
      <c r="AN887" s="33"/>
      <c r="AO887" s="33"/>
    </row>
    <row r="888" spans="1:41" ht="15.75" customHeight="1" x14ac:dyDescent="0.6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4"/>
      <c r="AL888" s="33"/>
      <c r="AM888" s="33"/>
      <c r="AN888" s="33"/>
      <c r="AO888" s="33"/>
    </row>
    <row r="889" spans="1:41" ht="15.75" customHeight="1" x14ac:dyDescent="0.6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4"/>
      <c r="AL889" s="33"/>
      <c r="AM889" s="33"/>
      <c r="AN889" s="33"/>
      <c r="AO889" s="33"/>
    </row>
    <row r="890" spans="1:41" ht="15.75" customHeight="1" x14ac:dyDescent="0.6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4"/>
      <c r="AL890" s="33"/>
      <c r="AM890" s="33"/>
      <c r="AN890" s="33"/>
      <c r="AO890" s="33"/>
    </row>
    <row r="891" spans="1:41" ht="15.75" customHeight="1" x14ac:dyDescent="0.6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4"/>
      <c r="AL891" s="33"/>
      <c r="AM891" s="33"/>
      <c r="AN891" s="33"/>
      <c r="AO891" s="33"/>
    </row>
    <row r="892" spans="1:41" ht="15.75" customHeight="1" x14ac:dyDescent="0.6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4"/>
      <c r="AL892" s="33"/>
      <c r="AM892" s="33"/>
      <c r="AN892" s="33"/>
      <c r="AO892" s="33"/>
    </row>
    <row r="893" spans="1:41" ht="15.75" customHeight="1" x14ac:dyDescent="0.6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4"/>
      <c r="AL893" s="33"/>
      <c r="AM893" s="33"/>
      <c r="AN893" s="33"/>
      <c r="AO893" s="33"/>
    </row>
    <row r="894" spans="1:41" ht="15.75" customHeight="1" x14ac:dyDescent="0.6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4"/>
      <c r="AL894" s="33"/>
      <c r="AM894" s="33"/>
      <c r="AN894" s="33"/>
      <c r="AO894" s="33"/>
    </row>
    <row r="895" spans="1:41" ht="15.75" customHeight="1" x14ac:dyDescent="0.6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4"/>
      <c r="AL895" s="33"/>
      <c r="AM895" s="33"/>
      <c r="AN895" s="33"/>
      <c r="AO895" s="33"/>
    </row>
    <row r="896" spans="1:41" ht="15.75" customHeight="1" x14ac:dyDescent="0.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4"/>
      <c r="AL896" s="33"/>
      <c r="AM896" s="33"/>
      <c r="AN896" s="33"/>
      <c r="AO896" s="33"/>
    </row>
    <row r="897" spans="1:41" ht="15.75" customHeight="1" x14ac:dyDescent="0.6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4"/>
      <c r="AL897" s="33"/>
      <c r="AM897" s="33"/>
      <c r="AN897" s="33"/>
      <c r="AO897" s="33"/>
    </row>
    <row r="898" spans="1:41" ht="15.75" customHeight="1" x14ac:dyDescent="0.6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4"/>
      <c r="AL898" s="33"/>
      <c r="AM898" s="33"/>
      <c r="AN898" s="33"/>
      <c r="AO898" s="33"/>
    </row>
    <row r="899" spans="1:41" ht="15.75" customHeight="1" x14ac:dyDescent="0.6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4"/>
      <c r="AL899" s="33"/>
      <c r="AM899" s="33"/>
      <c r="AN899" s="33"/>
      <c r="AO899" s="33"/>
    </row>
    <row r="900" spans="1:41" ht="15.75" customHeight="1" x14ac:dyDescent="0.6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4"/>
      <c r="AL900" s="33"/>
      <c r="AM900" s="33"/>
      <c r="AN900" s="33"/>
      <c r="AO900" s="33"/>
    </row>
    <row r="901" spans="1:41" ht="15.75" customHeight="1" x14ac:dyDescent="0.6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4"/>
      <c r="AL901" s="33"/>
      <c r="AM901" s="33"/>
      <c r="AN901" s="33"/>
      <c r="AO901" s="33"/>
    </row>
    <row r="902" spans="1:41" ht="15.75" customHeight="1" x14ac:dyDescent="0.6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4"/>
      <c r="AL902" s="33"/>
      <c r="AM902" s="33"/>
      <c r="AN902" s="33"/>
      <c r="AO902" s="33"/>
    </row>
    <row r="903" spans="1:41" ht="15.75" customHeight="1" x14ac:dyDescent="0.6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4"/>
      <c r="AL903" s="33"/>
      <c r="AM903" s="33"/>
      <c r="AN903" s="33"/>
      <c r="AO903" s="33"/>
    </row>
    <row r="904" spans="1:41" ht="15.75" customHeight="1" x14ac:dyDescent="0.6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4"/>
      <c r="AL904" s="33"/>
      <c r="AM904" s="33"/>
      <c r="AN904" s="33"/>
      <c r="AO904" s="33"/>
    </row>
    <row r="905" spans="1:41" ht="15.75" customHeight="1" x14ac:dyDescent="0.6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4"/>
      <c r="AL905" s="33"/>
      <c r="AM905" s="33"/>
      <c r="AN905" s="33"/>
      <c r="AO905" s="33"/>
    </row>
    <row r="906" spans="1:41" ht="15.75" customHeight="1" x14ac:dyDescent="0.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4"/>
      <c r="AL906" s="33"/>
      <c r="AM906" s="33"/>
      <c r="AN906" s="33"/>
      <c r="AO906" s="33"/>
    </row>
    <row r="907" spans="1:41" ht="15.75" customHeight="1" x14ac:dyDescent="0.6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4"/>
      <c r="AL907" s="33"/>
      <c r="AM907" s="33"/>
      <c r="AN907" s="33"/>
      <c r="AO907" s="33"/>
    </row>
    <row r="908" spans="1:41" ht="15.75" customHeight="1" x14ac:dyDescent="0.6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4"/>
      <c r="AL908" s="33"/>
      <c r="AM908" s="33"/>
      <c r="AN908" s="33"/>
      <c r="AO908" s="33"/>
    </row>
    <row r="909" spans="1:41" ht="15.75" customHeight="1" x14ac:dyDescent="0.6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4"/>
      <c r="AL909" s="33"/>
      <c r="AM909" s="33"/>
      <c r="AN909" s="33"/>
      <c r="AO909" s="33"/>
    </row>
    <row r="910" spans="1:41" ht="15.75" customHeight="1" x14ac:dyDescent="0.6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4"/>
      <c r="AL910" s="33"/>
      <c r="AM910" s="33"/>
      <c r="AN910" s="33"/>
      <c r="AO910" s="33"/>
    </row>
    <row r="911" spans="1:41" ht="15.75" customHeight="1" x14ac:dyDescent="0.6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4"/>
      <c r="AL911" s="33"/>
      <c r="AM911" s="33"/>
      <c r="AN911" s="33"/>
      <c r="AO911" s="33"/>
    </row>
    <row r="912" spans="1:41" ht="15.75" customHeight="1" x14ac:dyDescent="0.6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4"/>
      <c r="AL912" s="33"/>
      <c r="AM912" s="33"/>
      <c r="AN912" s="33"/>
      <c r="AO912" s="33"/>
    </row>
    <row r="913" spans="1:41" ht="15.75" customHeight="1" x14ac:dyDescent="0.6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4"/>
      <c r="AL913" s="33"/>
      <c r="AM913" s="33"/>
      <c r="AN913" s="33"/>
      <c r="AO913" s="33"/>
    </row>
    <row r="914" spans="1:41" ht="15.75" customHeight="1" x14ac:dyDescent="0.6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4"/>
      <c r="AL914" s="33"/>
      <c r="AM914" s="33"/>
      <c r="AN914" s="33"/>
      <c r="AO914" s="33"/>
    </row>
    <row r="915" spans="1:41" ht="15.75" customHeight="1" x14ac:dyDescent="0.6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4"/>
      <c r="AL915" s="33"/>
      <c r="AM915" s="33"/>
      <c r="AN915" s="33"/>
      <c r="AO915" s="33"/>
    </row>
    <row r="916" spans="1:41" ht="15.75" customHeight="1" x14ac:dyDescent="0.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4"/>
      <c r="AL916" s="33"/>
      <c r="AM916" s="33"/>
      <c r="AN916" s="33"/>
      <c r="AO916" s="33"/>
    </row>
    <row r="917" spans="1:41" ht="15.75" customHeight="1" x14ac:dyDescent="0.6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4"/>
      <c r="AL917" s="33"/>
      <c r="AM917" s="33"/>
      <c r="AN917" s="33"/>
      <c r="AO917" s="33"/>
    </row>
    <row r="918" spans="1:41" ht="15.75" customHeight="1" x14ac:dyDescent="0.6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4"/>
      <c r="AL918" s="33"/>
      <c r="AM918" s="33"/>
      <c r="AN918" s="33"/>
      <c r="AO918" s="33"/>
    </row>
    <row r="919" spans="1:41" ht="15.75" customHeight="1" x14ac:dyDescent="0.6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4"/>
      <c r="AL919" s="33"/>
      <c r="AM919" s="33"/>
      <c r="AN919" s="33"/>
      <c r="AO919" s="33"/>
    </row>
    <row r="920" spans="1:41" ht="15.75" customHeight="1" x14ac:dyDescent="0.6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4"/>
      <c r="AL920" s="33"/>
      <c r="AM920" s="33"/>
      <c r="AN920" s="33"/>
      <c r="AO920" s="33"/>
    </row>
    <row r="921" spans="1:41" ht="15.75" customHeight="1" x14ac:dyDescent="0.6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4"/>
      <c r="AL921" s="33"/>
      <c r="AM921" s="33"/>
      <c r="AN921" s="33"/>
      <c r="AO921" s="33"/>
    </row>
    <row r="922" spans="1:41" ht="15.75" customHeight="1" x14ac:dyDescent="0.6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4"/>
      <c r="AL922" s="33"/>
      <c r="AM922" s="33"/>
      <c r="AN922" s="33"/>
      <c r="AO922" s="33"/>
    </row>
    <row r="923" spans="1:41" ht="15.75" customHeight="1" x14ac:dyDescent="0.6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4"/>
      <c r="AL923" s="33"/>
      <c r="AM923" s="33"/>
      <c r="AN923" s="33"/>
      <c r="AO923" s="33"/>
    </row>
    <row r="924" spans="1:41" ht="15.75" customHeight="1" x14ac:dyDescent="0.6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4"/>
      <c r="AL924" s="33"/>
      <c r="AM924" s="33"/>
      <c r="AN924" s="33"/>
      <c r="AO924" s="33"/>
    </row>
    <row r="925" spans="1:41" ht="15.75" customHeight="1" x14ac:dyDescent="0.6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4"/>
      <c r="AL925" s="33"/>
      <c r="AM925" s="33"/>
      <c r="AN925" s="33"/>
      <c r="AO925" s="33"/>
    </row>
    <row r="926" spans="1:41" ht="15.75" customHeight="1" x14ac:dyDescent="0.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4"/>
      <c r="AL926" s="33"/>
      <c r="AM926" s="33"/>
      <c r="AN926" s="33"/>
      <c r="AO926" s="33"/>
    </row>
    <row r="927" spans="1:41" ht="15.75" customHeight="1" x14ac:dyDescent="0.6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4"/>
      <c r="AL927" s="33"/>
      <c r="AM927" s="33"/>
      <c r="AN927" s="33"/>
      <c r="AO927" s="33"/>
    </row>
    <row r="928" spans="1:41" ht="15.75" customHeight="1" x14ac:dyDescent="0.6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4"/>
      <c r="AL928" s="33"/>
      <c r="AM928" s="33"/>
      <c r="AN928" s="33"/>
      <c r="AO928" s="33"/>
    </row>
    <row r="929" spans="1:41" ht="15.75" customHeight="1" x14ac:dyDescent="0.6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4"/>
      <c r="AL929" s="33"/>
      <c r="AM929" s="33"/>
      <c r="AN929" s="33"/>
      <c r="AO929" s="33"/>
    </row>
    <row r="930" spans="1:41" ht="15.75" customHeight="1" x14ac:dyDescent="0.6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4"/>
      <c r="AL930" s="33"/>
      <c r="AM930" s="33"/>
      <c r="AN930" s="33"/>
      <c r="AO930" s="33"/>
    </row>
    <row r="931" spans="1:41" ht="15.75" customHeight="1" x14ac:dyDescent="0.6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4"/>
      <c r="AL931" s="33"/>
      <c r="AM931" s="33"/>
      <c r="AN931" s="33"/>
      <c r="AO931" s="33"/>
    </row>
    <row r="932" spans="1:41" ht="15.75" customHeight="1" x14ac:dyDescent="0.6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4"/>
      <c r="AL932" s="33"/>
      <c r="AM932" s="33"/>
      <c r="AN932" s="33"/>
      <c r="AO932" s="33"/>
    </row>
  </sheetData>
  <dataValidations count="3">
    <dataValidation type="list" allowBlank="1" showErrorMessage="1" sqref="C2:C135" xr:uid="{00000000-0002-0000-0300-000000000000}">
      <formula1>"Konsumen,Pasar Tradisional,Pasar Modern,Pasar Flamboyan,Pasar Kemuning"</formula1>
    </dataValidation>
    <dataValidation type="list" allowBlank="1" showErrorMessage="1" sqref="A2:A135" xr:uid="{00000000-0002-0000-0300-000001000000}">
      <formula1>"SP2KP,Panel Harga,PIHPS,Disbunnak"</formula1>
    </dataValidation>
    <dataValidation type="list" allowBlank="1" showErrorMessage="1" sqref="D2:D135" xr:uid="{00000000-0002-0000-0300-000002000000}">
      <formula1>"Provinsi,Sambas,Mempawah,Sanggau,Ketapang,Sintang,Kapuas Hulu,Bengkayang,Landak,Sekadau,Melawi,Kayong Utara,Kubu Raya,Pontianak,Singkawang,Kota Pontianak,Kota Singkawang"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2024</vt:lpstr>
      <vt:lpstr>Data 2025</vt:lpstr>
      <vt:lpstr>jan26</vt:lpstr>
      <vt:lpstr>choice</vt:lpstr>
      <vt:lpstr>feb26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Abdurrahman Harits</cp:lastModifiedBy>
  <dcterms:modified xsi:type="dcterms:W3CDTF">2026-02-18T10:49:06Z</dcterms:modified>
</cp:coreProperties>
</file>